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https://d.docs.live.net/9f89576f639afc9f/Pictures/python/projects/"/>
    </mc:Choice>
  </mc:AlternateContent>
  <xr:revisionPtr revIDLastSave="249" documentId="8_{85A47707-935B-4DEA-B6FC-04064B39A2EC}" xr6:coauthVersionLast="47" xr6:coauthVersionMax="47" xr10:uidLastSave="{86D7F678-C129-4A85-B3B4-9BC6A06BFAA6}"/>
  <bookViews>
    <workbookView xWindow="-108" yWindow="-108" windowWidth="23256" windowHeight="12456" firstSheet="2" activeTab="2" xr2:uid="{820D327C-6F27-4426-BF40-8F041207018E}"/>
  </bookViews>
  <sheets>
    <sheet name="salesdataset" sheetId="1" r:id="rId1"/>
    <sheet name="budget performance" sheetId="2" r:id="rId2"/>
    <sheet name="dashboards" sheetId="3" r:id="rId3"/>
  </sheets>
  <definedNames>
    <definedName name="Slicer_Category">#N/A</definedName>
    <definedName name="Slicer_Month">#N/A</definedName>
    <definedName name="Slicer_Sales">#N/A</definedName>
    <definedName name="Slicer_Sales1">#N/A</definedName>
  </definedNames>
  <calcPr calcId="191029"/>
  <pivotCaches>
    <pivotCache cacheId="2" r:id="rId4"/>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13" i="2" l="1"/>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D506" i="2"/>
  <c r="C506" i="2"/>
  <c r="B506" i="2"/>
  <c r="B505" i="2"/>
</calcChain>
</file>

<file path=xl/sharedStrings.xml><?xml version="1.0" encoding="utf-8"?>
<sst xmlns="http://schemas.openxmlformats.org/spreadsheetml/2006/main" count="2574" uniqueCount="837">
  <si>
    <t>Order ID</t>
  </si>
  <si>
    <t>Order Date</t>
  </si>
  <si>
    <t>Region</t>
  </si>
  <si>
    <t>City</t>
  </si>
  <si>
    <t>Category</t>
  </si>
  <si>
    <t>Product Name</t>
  </si>
  <si>
    <t>Sales</t>
  </si>
  <si>
    <t>Quantity</t>
  </si>
  <si>
    <t>Discount</t>
  </si>
  <si>
    <t>Profit</t>
  </si>
  <si>
    <t>CA-2014-101476</t>
  </si>
  <si>
    <t>East</t>
  </si>
  <si>
    <t>New Rochelle</t>
  </si>
  <si>
    <t>Technology</t>
  </si>
  <si>
    <t>Epson WorkForce WF-2530 All-in-One Printer, Copier Scanner</t>
  </si>
  <si>
    <t>CA-2014-104269</t>
  </si>
  <si>
    <t>West</t>
  </si>
  <si>
    <t>Seattle</t>
  </si>
  <si>
    <t>Furniture</t>
  </si>
  <si>
    <t>Global Deluxe High-Back Manager's Chair</t>
  </si>
  <si>
    <t>CA-2014-105893</t>
  </si>
  <si>
    <t>Central</t>
  </si>
  <si>
    <t>Madison</t>
  </si>
  <si>
    <t>Office Supplies</t>
  </si>
  <si>
    <t>Stur-D-Stor Shelving, Vertical 5-Shelf: 72"H x 36"W x 18 1/2"D</t>
  </si>
  <si>
    <t>CA-2014-106376</t>
  </si>
  <si>
    <t>Gilbert</t>
  </si>
  <si>
    <t>Hunt BOSTON Model 1606 High-Volume Electric Pencil Sharpener, Beige</t>
  </si>
  <si>
    <t>netTALK DUO VoIP Telephone Service</t>
  </si>
  <si>
    <t>CA-2014-110072</t>
  </si>
  <si>
    <t>Newark</t>
  </si>
  <si>
    <t>Seth Thomas 14" Putty-Colored Wall Clock</t>
  </si>
  <si>
    <t>CA-2014-111003</t>
  </si>
  <si>
    <t>Lakewood</t>
  </si>
  <si>
    <t>GBC Clear Cover, 8-1/2 x 11, unpunched, 25 covers per pack</t>
  </si>
  <si>
    <t>Boston Heavy-Duty Trimline Electric Pencil Sharpeners</t>
  </si>
  <si>
    <t>CA-2014-111451</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</si>
  <si>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</si>
  <si>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</si>
  <si>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</si>
  <si>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</si>
  <si>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</si>
  <si>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</si>
  <si>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CA-2014-113166</t>
  </si>
  <si>
    <t>South</t>
  </si>
  <si>
    <t>Miami</t>
  </si>
  <si>
    <t>Xerox 1974</t>
  </si>
  <si>
    <t>CA-2014-113362</t>
  </si>
  <si>
    <t>Rochester</t>
  </si>
  <si>
    <t>Fellowes Officeware Wire Shelving</t>
  </si>
  <si>
    <t>Colored Envelopes</t>
  </si>
  <si>
    <t>CA-2014-115259</t>
  </si>
  <si>
    <t>Columbus</t>
  </si>
  <si>
    <t>OIC Colored Binder Clips, Assorted Sizes</t>
  </si>
  <si>
    <t>Redi-Strip #10 Envelopes, 4 1/8 x 9 1/2</t>
  </si>
  <si>
    <t>Xerox 1921</t>
  </si>
  <si>
    <t>Tyvek  Top-Opening Peel &amp; Seel Envelopes, Plain White</t>
  </si>
  <si>
    <t>CA-2014-115812</t>
  </si>
  <si>
    <t>Los Angeles</t>
  </si>
  <si>
    <t>Eldon Expressions Wood and Plastic Desk Accessories, Cherry Wood</t>
  </si>
  <si>
    <t>Newell 322</t>
  </si>
  <si>
    <t>Mitel 5320 IP Phone VoIP phone</t>
  </si>
  <si>
    <t>DXL Angle-View Binders with Locking Rings by Samsill</t>
  </si>
  <si>
    <t>Belkin F5C206VTEL 6 Outlet Surge</t>
  </si>
  <si>
    <t>Chromcraft Rectangular Conference Tables</t>
  </si>
  <si>
    <t>Konftel 250 ConferenceÂ phoneÂ - Charcoal black</t>
  </si>
  <si>
    <t>CA-2014-115973</t>
  </si>
  <si>
    <t>Cincinnati</t>
  </si>
  <si>
    <t>Crayola Colored Pencils</t>
  </si>
  <si>
    <t>CA-2014-118962</t>
  </si>
  <si>
    <t>Adams Phone Message Book, Professional, 400 Message Capacity, 5 3/6Â” x 11Â”</t>
  </si>
  <si>
    <t>Xerox 1913</t>
  </si>
  <si>
    <t>Global Value Steno Chair, Gray</t>
  </si>
  <si>
    <t>CA-2014-120887</t>
  </si>
  <si>
    <t>Hackensack</t>
  </si>
  <si>
    <t>Deflect-o SuperTray Unbreakable Stackable Tray, Letter, Black</t>
  </si>
  <si>
    <t>CA-2014-122336</t>
  </si>
  <si>
    <t>Philadelphia</t>
  </si>
  <si>
    <t>Newell 314</t>
  </si>
  <si>
    <t>Fellowes PB200 Plastic Comb Binding Machine</t>
  </si>
  <si>
    <t>Staples</t>
  </si>
  <si>
    <t>Square Credit Card Reader, 4 1/2" x 4 1/2" x 1", White</t>
  </si>
  <si>
    <t>CA-2014-123260</t>
  </si>
  <si>
    <t>SanDisk Ultra 32 GB MicroSDHC Class 10 Memory Card</t>
  </si>
  <si>
    <t>CA-2014-123344</t>
  </si>
  <si>
    <t>San Francisco</t>
  </si>
  <si>
    <t>Gould Plastics 9-Pocket Panel Bin, 18-3/8w x 5-1/4d x 20-1/2h, Black</t>
  </si>
  <si>
    <t>CA-2014-127691</t>
  </si>
  <si>
    <t>New York City</t>
  </si>
  <si>
    <t>Premium Writing Pencils, Soft, #2 by Central Association for the Blind</t>
  </si>
  <si>
    <t>Logitech G602 Wireless Gaming Mouse</t>
  </si>
  <si>
    <t>CA-2014-129924</t>
  </si>
  <si>
    <t>Tuff Stuff Recycled Round Ring Binders</t>
  </si>
  <si>
    <t>Hon 5100 Series Wood Tables</t>
  </si>
  <si>
    <t>CA-2014-130960</t>
  </si>
  <si>
    <t>Taylor</t>
  </si>
  <si>
    <t>Newell 350</t>
  </si>
  <si>
    <t>CA-2014-131926</t>
  </si>
  <si>
    <t>Lakeville</t>
  </si>
  <si>
    <t>Safco Steel Mobile File Cart</t>
  </si>
  <si>
    <t>Adams Telephone Message Book w/Frequently-Called Numbers Space, 400 Messages per Book</t>
  </si>
  <si>
    <t>Honeywell Enviracaire Portable HEPA Air Cleaner for 17' x 22' Room</t>
  </si>
  <si>
    <t>Xerox 205</t>
  </si>
  <si>
    <t>CA-2014-133690</t>
  </si>
  <si>
    <t>Denver</t>
  </si>
  <si>
    <t>BoxOffice By Design Rectangular and Half-Moon Meeting Room Tables</t>
  </si>
  <si>
    <t>Bravo II Megaboss 12-Amp Hard Body Upright, Replacement Belts, 2 Belts per Pack</t>
  </si>
  <si>
    <t>CA-2014-133753</t>
  </si>
  <si>
    <t>Huntsville</t>
  </si>
  <si>
    <t>Square Credit Card Reader</t>
  </si>
  <si>
    <t>Logitech M510 Wireless Mouse</t>
  </si>
  <si>
    <t>Boston 1645 Deluxe Heavier-Duty Electric Pencil Sharpener</t>
  </si>
  <si>
    <t>CA-2014-134677</t>
  </si>
  <si>
    <t>San Diego</t>
  </si>
  <si>
    <t>ImationÂ USB 2.0 SwivelÂ Flash DriveÂ USBÂ flash driveÂ - 4 GB - Pink</t>
  </si>
  <si>
    <t>CA-2014-139451</t>
  </si>
  <si>
    <t>Sortfiler Multipurpose Personal File Organizer, Black</t>
  </si>
  <si>
    <t>CA-2014-139892</t>
  </si>
  <si>
    <t>San Antonio</t>
  </si>
  <si>
    <t>BIC Brite Liner Highlighters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</si>
  <si>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</si>
  <si>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</si>
  <si>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</si>
  <si>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</si>
  <si>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</si>
  <si>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</si>
  <si>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CA-2014-140004</t>
  </si>
  <si>
    <t>Hamilton</t>
  </si>
  <si>
    <t>Binney &amp; Smith Crayola Metallic Colored Pencils, 8-Color Set</t>
  </si>
  <si>
    <t>Binney &amp; Smith inkTank Erasable Desk Highlighter, Chisel Tip, Yellow, 12/Box</t>
  </si>
  <si>
    <t>CA-2014-142048</t>
  </si>
  <si>
    <t>Louisville</t>
  </si>
  <si>
    <t>KeyTronicÂ 6101 Series -Â KeyboardÂ - Black</t>
  </si>
  <si>
    <t>CA-2014-143336</t>
  </si>
  <si>
    <t>Newell 341</t>
  </si>
  <si>
    <t>Cisco SPA 501G IP Phone</t>
  </si>
  <si>
    <t>Wilson Jones Hanging View Binder, White, 1"</t>
  </si>
  <si>
    <t>CA-2014-144666</t>
  </si>
  <si>
    <t>SAFCO Boltless Steel Shelving</t>
  </si>
  <si>
    <t>Sauder Mission Library with Doors, Fruitwood Finish</t>
  </si>
  <si>
    <t>Samsung Galaxy Note 3</t>
  </si>
  <si>
    <t>Decoflex Hanging Personal Folder File, Blue</t>
  </si>
  <si>
    <t>Recycled Desk Saver Line "While You Were Out" Book, 5 1/2" X 4"</t>
  </si>
  <si>
    <t>Xerox 1912</t>
  </si>
  <si>
    <t>CA-2014-146703</t>
  </si>
  <si>
    <t>Westland</t>
  </si>
  <si>
    <t>CA-2014-154627</t>
  </si>
  <si>
    <t>Chicago</t>
  </si>
  <si>
    <t>Apple iPhone 5S</t>
  </si>
  <si>
    <t>CA-2014-155208</t>
  </si>
  <si>
    <t>Wilmington</t>
  </si>
  <si>
    <t>Avery Hi-Liter EverBold Pen Style Fluorescent Highlighters, 4/Pack</t>
  </si>
  <si>
    <t>CA-2014-156601</t>
  </si>
  <si>
    <t>Long Beach</t>
  </si>
  <si>
    <t>OIC Binder Clips</t>
  </si>
  <si>
    <t>CA-2014-158274</t>
  </si>
  <si>
    <t>Monroe</t>
  </si>
  <si>
    <t>AT&amp;T TR1909W</t>
  </si>
  <si>
    <t>Nokia Lumia 521 (T-Mobile)</t>
  </si>
  <si>
    <t>HP Standard 104 key PS/2 Keyboard</t>
  </si>
  <si>
    <t>CA-2014-164259</t>
  </si>
  <si>
    <t>Boston School Pro Electric Pencil Sharpener, 1670</t>
  </si>
  <si>
    <t>CA-2014-164973</t>
  </si>
  <si>
    <t>DMI Arturo Collection Mission-style Design Wood Chair</t>
  </si>
  <si>
    <t>Canon imageCLASS MF7460 Monochrome Digital Laser Multifunction Copier</t>
  </si>
  <si>
    <t>Panasonic Kx-TS550</t>
  </si>
  <si>
    <t>NETGEAR N750 Dual Band Wi-Fi Gigabit Router</t>
  </si>
  <si>
    <t>Trav-L-File Heavy-Duty Shuttle II, Black</t>
  </si>
  <si>
    <t>CA-2014-166191</t>
  </si>
  <si>
    <t>Decatur</t>
  </si>
  <si>
    <t>Tenex File Box, Personal Filing Tote with Lid, Black</t>
  </si>
  <si>
    <t>ImationÂ Secure+ Hardware Encrypted USB 2.0Â Flash Drive; 16GB</t>
  </si>
  <si>
    <t>CA-2014-167164</t>
  </si>
  <si>
    <t>West Jordan</t>
  </si>
  <si>
    <t>Fellowes Super Stor/Drawer</t>
  </si>
  <si>
    <t>CA-2014-167850</t>
  </si>
  <si>
    <t>Saint Petersburg</t>
  </si>
  <si>
    <t>AT&amp;T 1070 Corded Phone</t>
  </si>
  <si>
    <t>Xerox 21</t>
  </si>
  <si>
    <t>CA-2015-101007</t>
  </si>
  <si>
    <t>Dallas</t>
  </si>
  <si>
    <t>Memorex Micro Travel Drive 8 GB</t>
  </si>
  <si>
    <t>CA-2015-102281</t>
  </si>
  <si>
    <t>Atlantic Metals Mobile 4-Shelf Bookcases, Custom Colors</t>
  </si>
  <si>
    <t>I Need's 3d Hello Kitty Hybrid Silicone Case Cover for HTC One X 4g with 3d Hello Kitty Stylus Pen Green/pink</t>
  </si>
  <si>
    <t>Atlantic Metals Mobile 3-Shelf Bookcases, Custom Colors</t>
  </si>
  <si>
    <t>4009 Highlighters by Sanford</t>
  </si>
  <si>
    <t>CA-2015-106320</t>
  </si>
  <si>
    <t>Orem</t>
  </si>
  <si>
    <t>Bretford CR4500 Series Slim Rectangular Table</t>
  </si>
  <si>
    <t>CA-2015-109638</t>
  </si>
  <si>
    <t>3M Office Air Cleaner</t>
  </si>
  <si>
    <t>Logitech G700s Rechargeable Gaming Mouse</t>
  </si>
  <si>
    <t>Acco D-Ring Binder w/DublLock</t>
  </si>
  <si>
    <t>CA-2015-110457</t>
  </si>
  <si>
    <t>Hon Racetrack Conference Tables</t>
  </si>
  <si>
    <t>CA-2015-110744</t>
  </si>
  <si>
    <t>Pasadena</t>
  </si>
  <si>
    <t>Safco Industrial Wire Shelving</t>
  </si>
  <si>
    <t>CA-2015-115742</t>
  </si>
  <si>
    <t>New Albany</t>
  </si>
  <si>
    <t>C-Line Peel &amp; Stick Add-On Filing Pockets, 8-3/4 x 5-1/8, 10/Pack</t>
  </si>
  <si>
    <t>Avery 485</t>
  </si>
  <si>
    <t>Longer-Life Soft White Bulbs</t>
  </si>
  <si>
    <t>Global Leather Task Chair, Black</t>
  </si>
  <si>
    <t>CA-2015-117415</t>
  </si>
  <si>
    <t>Houston</t>
  </si>
  <si>
    <t>#10-4 1/8" x 9 1/2" Premium Diagonal Seam Envelopes</t>
  </si>
  <si>
    <t>Global Fabric Manager's Chair, Dark Gray</t>
  </si>
  <si>
    <t>Plantronics HL10 Handset Lifter</t>
  </si>
  <si>
    <t>CA-2015-118948</t>
  </si>
  <si>
    <t>Newell 311</t>
  </si>
  <si>
    <t>CA-2015-119697</t>
  </si>
  <si>
    <t>Lenovo 17-Key USB Numeric Keypad</t>
  </si>
  <si>
    <t>CA-2015-122259</t>
  </si>
  <si>
    <t>Jackson</t>
  </si>
  <si>
    <t>Acme 10" Easy Grip Assistive Scissors</t>
  </si>
  <si>
    <t>CA-2015-122756</t>
  </si>
  <si>
    <t>Lexmark MarkNet N8150 Wireless Print Server</t>
  </si>
  <si>
    <t>3M Hangers With Command Adhesive</t>
  </si>
  <si>
    <t>CA-2015-124919</t>
  </si>
  <si>
    <t>San Jose</t>
  </si>
  <si>
    <t>Southworth 25% Cotton Antique Laid Paper &amp; Envelopes</t>
  </si>
  <si>
    <t>Xerox 1883</t>
  </si>
  <si>
    <t>Tenex Personal Project File with Scoop Front Design, Black</t>
  </si>
  <si>
    <t>CA-2015-125395</t>
  </si>
  <si>
    <t>Sony 32GB Class 10 Micro SDHC R40 Memory Card</t>
  </si>
  <si>
    <t>CA-2015-128167</t>
  </si>
  <si>
    <t>Layton</t>
  </si>
  <si>
    <t>OIC Binder Clips, Mini, 1/4" Capacity, Black</t>
  </si>
  <si>
    <t>CA-2015-129476</t>
  </si>
  <si>
    <t>Orland Park</t>
  </si>
  <si>
    <t>LogitechÂ Gaming G510s - Keyboard</t>
  </si>
  <si>
    <t>CA-2015-130792</t>
  </si>
  <si>
    <t>Holmes Odor Grabber</t>
  </si>
  <si>
    <t>Akro-Mils 12-Gallon Tote</t>
  </si>
  <si>
    <t>GBC Twin Loop Wire Binding Elements, 9/16" Spine, Black</t>
  </si>
  <si>
    <t>CA-2015-130883</t>
  </si>
  <si>
    <t>Portland</t>
  </si>
  <si>
    <t>Easy-staple paper</t>
  </si>
  <si>
    <t>Microsoft Arc Touch Mouse</t>
  </si>
  <si>
    <t>Xerox 216</t>
  </si>
  <si>
    <t>CA-2015-130890</t>
  </si>
  <si>
    <t>Bevis Round Bullnose 29" High Table Top</t>
  </si>
  <si>
    <t>CA-2015-131457</t>
  </si>
  <si>
    <t>Redlands</t>
  </si>
  <si>
    <t>Poly String Tie Envelopes</t>
  </si>
  <si>
    <t>CA-2015-134782</t>
  </si>
  <si>
    <t>Fayetteville</t>
  </si>
  <si>
    <t>Strathmore #10 Envelopes, Ultimate White</t>
  </si>
  <si>
    <t>CA-2015-135545</t>
  </si>
  <si>
    <t>Verbatim 25 GB 6x Blu-ray Single Layer Recordable Disc, 3/Pack</t>
  </si>
  <si>
    <t>Acco PRESSTEX Data Binder with Storage Hooks, Dark Blue, 14 7/8" X 11"</t>
  </si>
  <si>
    <t>Xerox 1943</t>
  </si>
  <si>
    <t>Luxo Economy Swing Arm Lamp</t>
  </si>
  <si>
    <t>CA-2015-137225</t>
  </si>
  <si>
    <t>Sanford Colorific Eraseable Coloring Pencils, 12 Count</t>
  </si>
  <si>
    <t>CA-2015-137946</t>
  </si>
  <si>
    <t>Storex Dura Pro Binders</t>
  </si>
  <si>
    <t>Hewlett Packard LaserJet 3310 Copier</t>
  </si>
  <si>
    <t>Avery Non-Stick Binders</t>
  </si>
  <si>
    <t>CA-2015-144253</t>
  </si>
  <si>
    <t>Electrix 20W Halogen Replacement Bulb for Zoom-In Desk Lamp</t>
  </si>
  <si>
    <t>CA-2015-146262</t>
  </si>
  <si>
    <t>Medina</t>
  </si>
  <si>
    <t>Avery 505</t>
  </si>
  <si>
    <t>O'Sullivan 2-Door Barrister Bookcase in Odessa Pine</t>
  </si>
  <si>
    <t>Speck Products Candyshell Flip Case</t>
  </si>
  <si>
    <t>Cisco 9971 IP Video Phone Charcoal</t>
  </si>
  <si>
    <t>Sony Micro Vault Click 16 GB USB 2.0 Flash Drive</t>
  </si>
  <si>
    <t>CA-2015-149587</t>
  </si>
  <si>
    <t>Minneapolis</t>
  </si>
  <si>
    <t>Xerox 1999</t>
  </si>
  <si>
    <t>Seth Thomas 13 1/2" Wall Clock</t>
  </si>
  <si>
    <t>Ibico Standard Transparent Covers</t>
  </si>
  <si>
    <t>CA-2015-149734</t>
  </si>
  <si>
    <t>Durham</t>
  </si>
  <si>
    <t>Jet-Pak Recycled Peel 'N' Seal Padded Mailers</t>
  </si>
  <si>
    <t>CA-2015-154144</t>
  </si>
  <si>
    <t>Lindenhurst</t>
  </si>
  <si>
    <t>Eaton Premium Continuous-Feed Paper, 25% Cotton, Letter Size, White, 1000 Shts/Box</t>
  </si>
  <si>
    <t>CA-2015-155040</t>
  </si>
  <si>
    <t>Brentwood</t>
  </si>
  <si>
    <t>Microsoft Sculpt Comfort Mouse</t>
  </si>
  <si>
    <t>CA-2015-155334</t>
  </si>
  <si>
    <t>Logitech 910-002974 M325 Wireless Mouse for Web Scrolling</t>
  </si>
  <si>
    <t>Regeneration Desk Collection</t>
  </si>
  <si>
    <t>Presstex Flexible Ring Binders</t>
  </si>
  <si>
    <t>CA-2015-163055</t>
  </si>
  <si>
    <t>Detroit</t>
  </si>
  <si>
    <t>Sanford Uni-Blazer View Highlighters, Chisel Tip, Yellow</t>
  </si>
  <si>
    <t>Bevis 36 x 72 Conference Tables</t>
  </si>
  <si>
    <t>Rogers Deluxe File Chest</t>
  </si>
  <si>
    <t>CA-2015-169397</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</si>
  <si>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</si>
  <si>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</si>
  <si>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</si>
  <si>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</si>
  <si>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</si>
  <si>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</si>
  <si>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CA-2016-100153</t>
  </si>
  <si>
    <t>Norman</t>
  </si>
  <si>
    <t>Memorex Mini Travel Drive 16 GB USB 2.0 Flash Drive</t>
  </si>
  <si>
    <t>CA-2016-100790</t>
  </si>
  <si>
    <t>Prang Colored Pencils</t>
  </si>
  <si>
    <t>Fellowes Strictly Business Drawer File, Letter/Legal Size</t>
  </si>
  <si>
    <t>CA-2016-101343</t>
  </si>
  <si>
    <t>Eldon Base for stackable storage shelf, platinum</t>
  </si>
  <si>
    <t>CA-2016-103730</t>
  </si>
  <si>
    <t>Artistic Insta-Plaque</t>
  </si>
  <si>
    <t>Companion Letter/Legal File, Black</t>
  </si>
  <si>
    <t>Globe Weis Peel &amp; Seel First Class Envelopes</t>
  </si>
  <si>
    <t>KLD Oscar II Style Snap-on Ultra Thin Side Flip Synthetic Leather Cover Case for HTC One HTC M7</t>
  </si>
  <si>
    <t>CA-2016-103891</t>
  </si>
  <si>
    <t>Cisco SPA525G2 IP Phone - Wireless</t>
  </si>
  <si>
    <t>CA-2016-105018</t>
  </si>
  <si>
    <t>Fairfield</t>
  </si>
  <si>
    <t>Avery Poly Binder Pockets</t>
  </si>
  <si>
    <t>CA-2016-105816</t>
  </si>
  <si>
    <t>Advantus Push Pins</t>
  </si>
  <si>
    <t>AT&amp;T CL83451 4-Handset Telephone</t>
  </si>
  <si>
    <t>CA-2016-106075</t>
  </si>
  <si>
    <t>Avery Binding System Hidden Tab Executive Style Index Sets</t>
  </si>
  <si>
    <t>CA-2016-108987</t>
  </si>
  <si>
    <t>Super Decoflex Portable Personal File</t>
  </si>
  <si>
    <t>Riverside Palais Royal Lawyers Bookcase, Royale Cherry Finish</t>
  </si>
  <si>
    <t>Contico 72"H Heavy-Duty Storage System</t>
  </si>
  <si>
    <t>Sony 64GB Class 10 Micro SDHC R40 Memory Card</t>
  </si>
  <si>
    <t>CA-2016-109806</t>
  </si>
  <si>
    <t>Turquoise Lead Holder with Pocket Clip</t>
  </si>
  <si>
    <t>Xerox 1995</t>
  </si>
  <si>
    <t>CA-2016-109869</t>
  </si>
  <si>
    <t>Phoenix</t>
  </si>
  <si>
    <t>Eldon Wave Desk Accessories</t>
  </si>
  <si>
    <t>Bush Advantage Collection Racetrack Conference Table</t>
  </si>
  <si>
    <t>Poly Designer Cover &amp; Back</t>
  </si>
  <si>
    <t>Premier Electric Letter Opener</t>
  </si>
  <si>
    <t>Fellowes Premier Superior Surge Suppressor, 10-Outlet, With Phone and Remote</t>
  </si>
  <si>
    <t>CA-2016-110366</t>
  </si>
  <si>
    <t>Howard Miller 13-3/4" Diameter Brushed Chrome Round Wall Clock</t>
  </si>
  <si>
    <t>CA-2016-110772</t>
  </si>
  <si>
    <t>Advantus SlideClip Paper Clips</t>
  </si>
  <si>
    <t>Avery 512</t>
  </si>
  <si>
    <t>Logitech Wireless Gaming Headset G930</t>
  </si>
  <si>
    <t>Bush Westfield Collection Bookcases, Medium Cherry Finish</t>
  </si>
  <si>
    <t>CA-2016-111010</t>
  </si>
  <si>
    <t>Morristown</t>
  </si>
  <si>
    <t>Bagged Rubber Bands</t>
  </si>
  <si>
    <t>CA-2016-111682</t>
  </si>
  <si>
    <t>Troy</t>
  </si>
  <si>
    <t>Home/Office Personal File Carts</t>
  </si>
  <si>
    <t>Xerox 232</t>
  </si>
  <si>
    <t>Novimex Turbo Task Chair</t>
  </si>
  <si>
    <t>Array Parchment Paper, Assorted Colors</t>
  </si>
  <si>
    <t>ImationÂ 8gb Micro Traveldrive Usb 2.0Â Flash Drive</t>
  </si>
  <si>
    <t>Plastic Binding Combs</t>
  </si>
  <si>
    <t>Prang Dustless Chalk Sticks</t>
  </si>
  <si>
    <t>CA-2016-112697</t>
  </si>
  <si>
    <t>Tamarac</t>
  </si>
  <si>
    <t>GBC VeloBinder Electric Binding Machine</t>
  </si>
  <si>
    <t>Acco 7-Outlet Masterpiece Power Center, Wihtout Fax/Phone Line Protection</t>
  </si>
  <si>
    <t>Premier Automatic Letter Opener</t>
  </si>
  <si>
    <t>CA-2016-113817</t>
  </si>
  <si>
    <t>Wilson Jones International Size A4 Ring Binders</t>
  </si>
  <si>
    <t>CA-2016-114104</t>
  </si>
  <si>
    <t>Edmond</t>
  </si>
  <si>
    <t>Avery 519</t>
  </si>
  <si>
    <t>Avaya 5420 Digital phone</t>
  </si>
  <si>
    <t>CA-2016-114489</t>
  </si>
  <si>
    <t>Franklin</t>
  </si>
  <si>
    <t>Plantronics CordlessÂ Phone HeadsetÂ with In-line Volume - M214C</t>
  </si>
  <si>
    <t>Anker Astro 15000mAh USB Portable Charger</t>
  </si>
  <si>
    <t>Hon Deluxe Fabric Upholstered Stacking Chairs, Rounded Back</t>
  </si>
  <si>
    <t>GBC Prestige Therm-A-Bind Covers</t>
  </si>
  <si>
    <t>CA-2016-115756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</si>
  <si>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</si>
  <si>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</si>
  <si>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</si>
  <si>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</si>
  <si>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</si>
  <si>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</si>
  <si>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CA-2016-117590</t>
  </si>
  <si>
    <t>Richardson</t>
  </si>
  <si>
    <t>GE 30524EE4</t>
  </si>
  <si>
    <t>Electrix Architect's Clamp-On Swing Arm Lamp, Black</t>
  </si>
  <si>
    <t>CA-2016-118255</t>
  </si>
  <si>
    <t>Eagan</t>
  </si>
  <si>
    <t>Verbatim 25 GB 6x Blu-ray Single Layer Recordable Disc, 25/Pack</t>
  </si>
  <si>
    <t>Wilson Jones Leather-Like Binders with DublLock Round Rings</t>
  </si>
  <si>
    <t>CA-2016-119823</t>
  </si>
  <si>
    <t>Springfield</t>
  </si>
  <si>
    <t>Snap-A-Way Black Print Carbonless Ruled Speed Letter, Triplicate</t>
  </si>
  <si>
    <t>CA-2016-121755</t>
  </si>
  <si>
    <t>Wilson Jones Active Use Binders</t>
  </si>
  <si>
    <t>ImationÂ 8GB Mini TravelDrive USB 2.0Â Flash Drive</t>
  </si>
  <si>
    <t>CA-2016-125318</t>
  </si>
  <si>
    <t>Cisco Small Business SPA 502G VoIP phone</t>
  </si>
  <si>
    <t>CA-2016-126158</t>
  </si>
  <si>
    <t>Costa Mesa</t>
  </si>
  <si>
    <t>Clear Mylar Reinforcing Strips</t>
  </si>
  <si>
    <t>Howard Miller 14-1/2" Diameter Chrome Round Wall Clock</t>
  </si>
  <si>
    <t>Deflect-O Glasstique Clear Desk Accessories</t>
  </si>
  <si>
    <t>CA-2016-127208</t>
  </si>
  <si>
    <t>1.7 Cubic Foot Compact "Cube" Office Refrigerators</t>
  </si>
  <si>
    <t>Avery Heavy-Duty EZD  Binder With Locking Rings</t>
  </si>
  <si>
    <t>CA-2016-127369</t>
  </si>
  <si>
    <t>Lowell</t>
  </si>
  <si>
    <t>Letter Size Cart</t>
  </si>
  <si>
    <t>CA-2016-128867</t>
  </si>
  <si>
    <t>Urbandale</t>
  </si>
  <si>
    <t>Hunt PowerHouse Electric Pencil Sharpener, Blue</t>
  </si>
  <si>
    <t>Avery Durable Plastic 1" Binders</t>
  </si>
  <si>
    <t>CA-2016-129714</t>
  </si>
  <si>
    <t>Sabrent 4-Port USB 2.0 Hub</t>
  </si>
  <si>
    <t>Xerox 1881</t>
  </si>
  <si>
    <t>Acco Hanging Data Binders</t>
  </si>
  <si>
    <t>GBC DocuBind P400 Electric Binding System</t>
  </si>
  <si>
    <t>CA-2016-129903</t>
  </si>
  <si>
    <t>Universal Premium White Copier/Laser Paper (20Lb. and 87 Bright)</t>
  </si>
  <si>
    <t>CA-2016-130001</t>
  </si>
  <si>
    <t>Charlotte</t>
  </si>
  <si>
    <t>Southworth 25% Cotton Linen-Finish Paper &amp; Envelopes</t>
  </si>
  <si>
    <t>CA-2016-130162</t>
  </si>
  <si>
    <t>Personal Filing Tote with Lid, Black/Gray</t>
  </si>
  <si>
    <t>Adtran 1202752G1</t>
  </si>
  <si>
    <t>CA-2016-134775</t>
  </si>
  <si>
    <t>Southworth Structures Collection</t>
  </si>
  <si>
    <t>Square Ring Data Binders, Rigid 75 Pt. Covers, 11" x 14-7/8"</t>
  </si>
  <si>
    <t>CA-2016-137330</t>
  </si>
  <si>
    <t>Fremont</t>
  </si>
  <si>
    <t>Newell 318</t>
  </si>
  <si>
    <t>Acco Six-Outlet Power Strip, 4' Cord Length</t>
  </si>
  <si>
    <t>CA-2016-138520</t>
  </si>
  <si>
    <t>Sauder Barrister Bookcases</t>
  </si>
  <si>
    <t>#10 Gummed Flap White Envelopes, 100/Box</t>
  </si>
  <si>
    <t>Dixon Prang Watercolor Pencils, 10-Color Set with Brush</t>
  </si>
  <si>
    <t>Adams Phone Message Book, 200 Message Capacity, 8 1/16Â” x 11Â”</t>
  </si>
  <si>
    <t>CA-2016-138688</t>
  </si>
  <si>
    <t>Self-Adhesive Address Labels for Typewriters by Universal</t>
  </si>
  <si>
    <t>CA-2016-142545</t>
  </si>
  <si>
    <t>Belleville</t>
  </si>
  <si>
    <t>Xerox 223</t>
  </si>
  <si>
    <t>Tennsco Stur-D-Stor Boltless Shelving, 5 Shelves, 24" Deep, Sand</t>
  </si>
  <si>
    <t>Xerox 1939</t>
  </si>
  <si>
    <t>Floodlight Indoor Halogen Bulbs, 1 Bulb per Pack, 60 Watts</t>
  </si>
  <si>
    <t>Avery Premier Heavy-Duty Binder with Round Locking Rings</t>
  </si>
  <si>
    <t>CA-2016-142902</t>
  </si>
  <si>
    <t>Arvada</t>
  </si>
  <si>
    <t>C-Line Cubicle Keepers Polyproplyene Holder With Velcro Backings</t>
  </si>
  <si>
    <t>Hon 4070 Series Pagoda Armless Upholstered Stacking Chairs</t>
  </si>
  <si>
    <t>Eldon Expressions Desk Accessory, Wood Photo Frame, Mahogany</t>
  </si>
  <si>
    <t>Avery 509</t>
  </si>
  <si>
    <t>CA-2016-145583</t>
  </si>
  <si>
    <t>Roseville</t>
  </si>
  <si>
    <t>Xerox 195</t>
  </si>
  <si>
    <t>Xerox 1880</t>
  </si>
  <si>
    <t>Sanford Colorific Colored Pencils, 12/Box</t>
  </si>
  <si>
    <t>Ideal Clamps</t>
  </si>
  <si>
    <t>GBC Wire Binding Strips</t>
  </si>
  <si>
    <t>Fiskars Softgrip Scissors</t>
  </si>
  <si>
    <t>CA-2016-145625</t>
  </si>
  <si>
    <t>Wirebound Message Books, Two 4 1/4" x 5" Forms per Page</t>
  </si>
  <si>
    <t>LogitechÂ P710e Mobile Speakerphone</t>
  </si>
  <si>
    <t>CA-2016-146941</t>
  </si>
  <si>
    <t>Fellowes Personal Hanging Folder Files, Navy</t>
  </si>
  <si>
    <t>Tyvek Side-Opening Peel &amp; Seel Expanding Envelopes</t>
  </si>
  <si>
    <t>CA-2016-147375</t>
  </si>
  <si>
    <t>Canon Color ImageCLASS MF8580Cdw Wireless Laser All-In-One Printer, Copier, Scanner</t>
  </si>
  <si>
    <t>Xerox 1908</t>
  </si>
  <si>
    <t>CA-2016-148796</t>
  </si>
  <si>
    <t>Bevis Steel Folding Chairs</t>
  </si>
  <si>
    <t>CA-2016-149223</t>
  </si>
  <si>
    <t>Saint Paul</t>
  </si>
  <si>
    <t>Fellowes Basic Home/Office Series Surge Protectors</t>
  </si>
  <si>
    <t>CA-2016-152156</t>
  </si>
  <si>
    <t>Henderson</t>
  </si>
  <si>
    <t>Bush Somerset Collection Bookcase</t>
  </si>
  <si>
    <t>CA-2016-152632</t>
  </si>
  <si>
    <t>CA-2016-154508</t>
  </si>
  <si>
    <t>Carlsbad</t>
  </si>
  <si>
    <t>Staple envelope</t>
  </si>
  <si>
    <t>CA-2016-154739</t>
  </si>
  <si>
    <t>Global Leather Highback Executive Chair with Pneumatic Height Adjustment, Black</t>
  </si>
  <si>
    <t>CA-2016-155516</t>
  </si>
  <si>
    <t>Manchester</t>
  </si>
  <si>
    <t>Wilson Jones Â“SnapÂ” Scratch Pad Binder Tool for Ring Binders</t>
  </si>
  <si>
    <t>Staple remover</t>
  </si>
  <si>
    <t>Pizazz Global Quick File</t>
  </si>
  <si>
    <t>CA-2016-157000</t>
  </si>
  <si>
    <t>Grand Prairie</t>
  </si>
  <si>
    <t>CA-2016-157749</t>
  </si>
  <si>
    <t>Xerox 1957</t>
  </si>
  <si>
    <t>Luxo Professional Fluorescent Magnifier Lamp with Clamp-Mount Base</t>
  </si>
  <si>
    <t>Staple-based wall hangings</t>
  </si>
  <si>
    <t>PureGear Roll-On Screen Protector</t>
  </si>
  <si>
    <t>KI Conference Tables</t>
  </si>
  <si>
    <t>Eldon 100 Class Desk Accessories</t>
  </si>
  <si>
    <t>CA-2016-158568</t>
  </si>
  <si>
    <t>Avery Personal Creations Heavyweight Cards</t>
  </si>
  <si>
    <t>SanDisk Ultra 64 GB MicroSDHC Class 10 Memory Card</t>
  </si>
  <si>
    <t>Avery Hidden Tab Dividers for Binding Systems</t>
  </si>
  <si>
    <t>CA-2016-158834</t>
  </si>
  <si>
    <t>Scottsdale</t>
  </si>
  <si>
    <t>Belkin 7 Outlet SurgeMaster Surge Protector with Phone Protection</t>
  </si>
  <si>
    <t>Jabra BIZ 2300 Duo QD Duo CordedÂ Headset</t>
  </si>
  <si>
    <t>CA-2016-159695</t>
  </si>
  <si>
    <t>Eldon Portable Mobile Manager</t>
  </si>
  <si>
    <t>CA-2016-161389</t>
  </si>
  <si>
    <t>CA-2016-162138</t>
  </si>
  <si>
    <t>Hesperia</t>
  </si>
  <si>
    <t>Logitech Wireless Headset h800</t>
  </si>
  <si>
    <t>CA-2016-162733</t>
  </si>
  <si>
    <t>Xerox 1920</t>
  </si>
  <si>
    <t>CA-2016-166674</t>
  </si>
  <si>
    <t>Auburn</t>
  </si>
  <si>
    <t>Newell 345</t>
  </si>
  <si>
    <t>Fellowes Bankers Box Recycled Super Stor/Drawer</t>
  </si>
  <si>
    <t>50 Colored Long Pencils</t>
  </si>
  <si>
    <t>Newell 342</t>
  </si>
  <si>
    <t>Belkin Grip Candy Sheer Case / Cover for iPhone 5 and 5S</t>
  </si>
  <si>
    <t>CA-2016-169166</t>
  </si>
  <si>
    <t>Sony Micro Vault Click 8 GB USB 2.0 Flash Drive</t>
  </si>
  <si>
    <t>CA-2016-169194</t>
  </si>
  <si>
    <t>Dover</t>
  </si>
  <si>
    <t>LF Elite 3D Dazzle Designer Hard Case Cover, Lf Stylus Pen and Wiper For Apple Iphone 5c Mini Lite</t>
  </si>
  <si>
    <t>CA-2017-101798</t>
  </si>
  <si>
    <t>Angle-D Binders with Locking Rings, Label Holders</t>
  </si>
  <si>
    <t>LogitechÂ LS21 Speaker System - PC Multimedia - 2.1-CH - Wired</t>
  </si>
  <si>
    <t>CA-2017-102946</t>
  </si>
  <si>
    <t>Las Vegas</t>
  </si>
  <si>
    <t>Tuf-Vin Binders</t>
  </si>
  <si>
    <t>CA-2017-104745</t>
  </si>
  <si>
    <t>Harlingen</t>
  </si>
  <si>
    <t>Xerox 1930</t>
  </si>
  <si>
    <t>File Shuttle I and Handi-File</t>
  </si>
  <si>
    <t>CA-2017-105074</t>
  </si>
  <si>
    <t>Akron</t>
  </si>
  <si>
    <t>CA-2017-106180</t>
  </si>
  <si>
    <t>Newell 343</t>
  </si>
  <si>
    <t>Convenience Packs of Business Envelopes</t>
  </si>
  <si>
    <t>Xerox 1911</t>
  </si>
  <si>
    <t>CA-2017-107720</t>
  </si>
  <si>
    <t>Westfield</t>
  </si>
  <si>
    <t>Decoflex Hanging Personal Folder File</t>
  </si>
  <si>
    <t>CA-2017-107727</t>
  </si>
  <si>
    <t>CA-2017-108329</t>
  </si>
  <si>
    <t>Whittier</t>
  </si>
  <si>
    <t>Nortel Business Series Terminal T7208 Digital phone</t>
  </si>
  <si>
    <t>CA-2017-110478</t>
  </si>
  <si>
    <t>American Pencil</t>
  </si>
  <si>
    <t>White Envelopes, White Envelopes with Clear Poly Window</t>
  </si>
  <si>
    <t>CA-2017-114412</t>
  </si>
  <si>
    <t>Concord</t>
  </si>
  <si>
    <t>Xerox 1967</t>
  </si>
  <si>
    <t>CA-2017-114440</t>
  </si>
  <si>
    <t>Telephone Message Books with Fax/Mobile Section, 5 1/2" x 3 3/16"</t>
  </si>
  <si>
    <t>CA-2017-117457</t>
  </si>
  <si>
    <t>Sharp AL-1530CS Digital Copier</t>
  </si>
  <si>
    <t>Wirebound Message Book, 4 per Page</t>
  </si>
  <si>
    <t>Bevis Round Conference Table Top, X-Base</t>
  </si>
  <si>
    <t>Wirebound Service Call Books, 5 1/2" x 4"</t>
  </si>
  <si>
    <t>Self-Adhesive Removable Labels</t>
  </si>
  <si>
    <t>O'Sullivan 4-Shelf Bookcase in Odessa Pine</t>
  </si>
  <si>
    <t>Novimex High-Tech Fabric Mesh Task Chair</t>
  </si>
  <si>
    <t>CA-2017-117933</t>
  </si>
  <si>
    <t>Staple holder</t>
  </si>
  <si>
    <t>CA-2017-118136</t>
  </si>
  <si>
    <t>Inglewood</t>
  </si>
  <si>
    <t>Ampad Gold Fibre Wirebound Steno Books, 6" x 9", Gregg Ruled</t>
  </si>
  <si>
    <t>Newell 330</t>
  </si>
  <si>
    <t>CA-2017-119004</t>
  </si>
  <si>
    <t>Memorex Mini Travel Drive 8 GB USB 2.0 Flash Drive</t>
  </si>
  <si>
    <t>Newell Chalk Holder</t>
  </si>
  <si>
    <t>CA-2017-120999</t>
  </si>
  <si>
    <t>Naperville</t>
  </si>
  <si>
    <t>CA-2017-122105</t>
  </si>
  <si>
    <t>Huntington Beach</t>
  </si>
  <si>
    <t>Bulldog Vacuum Base Pencil Sharpener</t>
  </si>
  <si>
    <t>CA-2017-125388</t>
  </si>
  <si>
    <t>Lawrence</t>
  </si>
  <si>
    <t>Westinghouse Mesh Shade Clip-On Gooseneck Lamp, Black</t>
  </si>
  <si>
    <t>Crate-A-Files</t>
  </si>
  <si>
    <t>CA-2017-126382</t>
  </si>
  <si>
    <t>Eldon 200 Class Desk Accessories, Burgundy</t>
  </si>
  <si>
    <t>CA-2017-126774</t>
  </si>
  <si>
    <t>Arlington</t>
  </si>
  <si>
    <t>Faber Castell Col-Erase Pencils</t>
  </si>
  <si>
    <t>CA-2017-130043</t>
  </si>
  <si>
    <t>Xerox 1897</t>
  </si>
  <si>
    <t>CA-2017-132976</t>
  </si>
  <si>
    <t>Post-it Â“Important MessageÂ” Note Pad, Neon Colors, 50 Sheets/Pad</t>
  </si>
  <si>
    <t>Adams Write n' Stick Phone Message Book, 11" X 5 1/4", 200 Messages</t>
  </si>
  <si>
    <t>Eldon Simplefile Box Office</t>
  </si>
  <si>
    <t>Avery 489</t>
  </si>
  <si>
    <t>CA-2017-134306</t>
  </si>
  <si>
    <t>BIC Brite Liner Highlighters, Chisel Tip</t>
  </si>
  <si>
    <t>CA-2017-135860</t>
  </si>
  <si>
    <t>Saginaw</t>
  </si>
  <si>
    <t>Tennsco Lockers, Gray</t>
  </si>
  <si>
    <t>Panasonic KX-TG6844B Expandable Digital Cordless Telephone</t>
  </si>
  <si>
    <t>Avery Durable Slant Ring Binders, No Labels</t>
  </si>
  <si>
    <t>Advantus Push Pins, Aluminum Head</t>
  </si>
  <si>
    <t>Gould Plastics 18-Pocket Panel Bin, 34w x 5-1/4d x 20-1/2h</t>
  </si>
  <si>
    <t>CA-2017-136826</t>
  </si>
  <si>
    <t>Chapel Hill</t>
  </si>
  <si>
    <t>Quartet Omega Colored Chalk, 12/Pack</t>
  </si>
  <si>
    <t>CA-2017-139619</t>
  </si>
  <si>
    <t>Melbourne</t>
  </si>
  <si>
    <t>Advantus 10-Drawer Portable Organizer, Chrome Metal Frame, Smoke Drawers</t>
  </si>
  <si>
    <t>CA-2017-140088</t>
  </si>
  <si>
    <t>Columbia</t>
  </si>
  <si>
    <t>Novimex Swivel Fabric Task Chair</t>
  </si>
  <si>
    <t>CA-2017-140963</t>
  </si>
  <si>
    <t>Alphabetical Labels for Top Tab Filing</t>
  </si>
  <si>
    <t>O'Sullivan Living Dimensions 2-Shelf Bookcases</t>
  </si>
  <si>
    <t>iHome FM Clock Radio with Lightning Dock</t>
  </si>
  <si>
    <t>CA-2017-142636</t>
  </si>
  <si>
    <t>Xerox 191</t>
  </si>
  <si>
    <t>CA-2017-144904</t>
  </si>
  <si>
    <t>Avery Address/Shipping Labels for Typewriters, 4" x 2"</t>
  </si>
  <si>
    <t>Global Ergonomic Managers Chair</t>
  </si>
  <si>
    <t>Newell 333</t>
  </si>
  <si>
    <t>CA-2017-146780</t>
  </si>
  <si>
    <t>Magnifier Swing Arm Lamp</t>
  </si>
  <si>
    <t>CA-2017-147277</t>
  </si>
  <si>
    <t>Deluxe Rollaway Locking File with Drawer</t>
  </si>
  <si>
    <t>CA-2017-149160</t>
  </si>
  <si>
    <t>Canton</t>
  </si>
  <si>
    <t>Coloredge Poster Frame</t>
  </si>
  <si>
    <t>GBC VeloBinder Manual Binding System</t>
  </si>
  <si>
    <t>CA-2017-152275</t>
  </si>
  <si>
    <t>Design Ebony Sketching Pencil</t>
  </si>
  <si>
    <t>CA-2017-153339</t>
  </si>
  <si>
    <t>Murfreesboro</t>
  </si>
  <si>
    <t>Telescoping Adjustable Floor Lamp</t>
  </si>
  <si>
    <t>CA-2017-154214</t>
  </si>
  <si>
    <t>GE General Purpose, Extra Long Life, Showcase &amp; Floodlight Incandescent Bulbs</t>
  </si>
  <si>
    <t>CA-2017-154816</t>
  </si>
  <si>
    <t>Richmond</t>
  </si>
  <si>
    <t>Xerox 1987</t>
  </si>
  <si>
    <t>CA-2017-154907</t>
  </si>
  <si>
    <t>Amarillo</t>
  </si>
  <si>
    <t>Bush Mission Pointe Library</t>
  </si>
  <si>
    <t>CA-2017-155376</t>
  </si>
  <si>
    <t>Independence</t>
  </si>
  <si>
    <t>Sanyo 2.5 Cubic Foot Mid-Size Office Refrigerators</t>
  </si>
  <si>
    <t>CA-2017-155558</t>
  </si>
  <si>
    <t>Avery 511</t>
  </si>
  <si>
    <t>CA-2017-155698</t>
  </si>
  <si>
    <t>Belkin 8 Outlet SurgeMaster II Gold Surge Protector with Phone Protection</t>
  </si>
  <si>
    <t>CA-2017-155705</t>
  </si>
  <si>
    <t>Hon Multipurpose Stacking Arm Chairs</t>
  </si>
  <si>
    <t>CA-2017-157252</t>
  </si>
  <si>
    <t>Global Deluxe Steno Chair</t>
  </si>
  <si>
    <t>CA-2017-157833</t>
  </si>
  <si>
    <t>Trimflex Flexible Post Binders</t>
  </si>
  <si>
    <t>CA-2017-160514</t>
  </si>
  <si>
    <t>Santa Clara</t>
  </si>
  <si>
    <t>Xerox 4200 Series MultiUse Premium Copy Paper (20Lb. and 84 Bright)</t>
  </si>
  <si>
    <t>CA-2017-161018</t>
  </si>
  <si>
    <t>9-3/4 Diameter Round Wall Clock</t>
  </si>
  <si>
    <t>CA-2017-163139</t>
  </si>
  <si>
    <t>Safco Industrial Shelving</t>
  </si>
  <si>
    <t>Acco 3-Hole Punch</t>
  </si>
  <si>
    <t>CA-2017-163979</t>
  </si>
  <si>
    <t>Adjustable Depth Letter/Legal Cart</t>
  </si>
  <si>
    <t>CA-2017-165603</t>
  </si>
  <si>
    <t>Warwick</t>
  </si>
  <si>
    <t>2300 Heavy-Duty Transfer File Systems by Perma</t>
  </si>
  <si>
    <t>Xerox 1958</t>
  </si>
  <si>
    <t>CA-2017-169901</t>
  </si>
  <si>
    <t>Anker 36W 4-Port USB Wall Charger Travel Power Adapter for iPhone 5s 5c 5</t>
  </si>
  <si>
    <t>US-2014-100853</t>
  </si>
  <si>
    <t>Kensington 7 Outlet MasterPiece HOMEOFFICE Power Control Center</t>
  </si>
  <si>
    <t>Avery 51</t>
  </si>
  <si>
    <t>US-2014-106992</t>
  </si>
  <si>
    <t>Xerox WorkCentre 6505DN Laser Multifunction Printer</t>
  </si>
  <si>
    <t>US-2014-110674</t>
  </si>
  <si>
    <t>Global Geo Office Task Chair, Gray</t>
  </si>
  <si>
    <t>US-2014-119137</t>
  </si>
  <si>
    <t>Tucson</t>
  </si>
  <si>
    <t>Wilson Jones Custom Binder Spines &amp; Labels</t>
  </si>
  <si>
    <t>NETGEAR AC1750 Dual Band GigabitÂ Smart WiFi Router</t>
  </si>
  <si>
    <t>Newell 324</t>
  </si>
  <si>
    <t>Microsoft Natural Keyboard Elite</t>
  </si>
  <si>
    <t>US-2014-134614</t>
  </si>
  <si>
    <t>Bloomington</t>
  </si>
  <si>
    <t>Bevis 44 x 96 Conference Tables</t>
  </si>
  <si>
    <t>US-2014-134971</t>
  </si>
  <si>
    <t>Peoria</t>
  </si>
  <si>
    <t>Wilson Jones Century Plastic Molded Ring Binders</t>
  </si>
  <si>
    <t>US-2014-135972</t>
  </si>
  <si>
    <t>Des Moines</t>
  </si>
  <si>
    <t>Nortel Meridian M3904 Professional Digital phone</t>
  </si>
  <si>
    <t>Canon PC1080F Personal Copier</t>
  </si>
  <si>
    <t>US-2014-147606</t>
  </si>
  <si>
    <t>Eldon Expressions Desk Accessory, Wood Pencil Holder, Oak</t>
  </si>
  <si>
    <t>US-2014-150574</t>
  </si>
  <si>
    <t>Jacksonville</t>
  </si>
  <si>
    <t>Insertable Tab Post Binder Dividers</t>
  </si>
  <si>
    <t>Belkin QODE FastFit Bluetooth Keyboard</t>
  </si>
  <si>
    <t>US-2014-152030</t>
  </si>
  <si>
    <t>US-2014-156216</t>
  </si>
  <si>
    <t>GBC Instant Index System for Binding Systems</t>
  </si>
  <si>
    <t>US-2015-101399</t>
  </si>
  <si>
    <t>Park Ridge</t>
  </si>
  <si>
    <t>US-2015-101511</t>
  </si>
  <si>
    <t>Padded Folding Chairs, Black, 4/Carton</t>
  </si>
  <si>
    <t>Acme Rosewood Handle Letter Opener</t>
  </si>
  <si>
    <t>US-2015-108966</t>
  </si>
  <si>
    <t>Fort Lauderdale</t>
  </si>
  <si>
    <t>Eldon Fold 'N Roll Cart System</t>
  </si>
  <si>
    <t>US-2015-118983</t>
  </si>
  <si>
    <t>Fort Worth</t>
  </si>
  <si>
    <t>Holmes Replacement Filter for HEPA Air Cleaner, Very Large Room, HEPA Filter</t>
  </si>
  <si>
    <t>Storex DuraTech Recycled Plastic Frosted Binders</t>
  </si>
  <si>
    <t>US-2015-120712</t>
  </si>
  <si>
    <t>Austin</t>
  </si>
  <si>
    <t>US-2015-134026</t>
  </si>
  <si>
    <t>Memphis</t>
  </si>
  <si>
    <t>High-Back Leather Manager's Chair</t>
  </si>
  <si>
    <t>Tenex Traditional Chairmats for Medium Pile Carpet, Standard Lip, 36" x 48"</t>
  </si>
  <si>
    <t>Safco Industrial Wire Shelving System</t>
  </si>
  <si>
    <t>US-2015-136476</t>
  </si>
  <si>
    <t>Bristol</t>
  </si>
  <si>
    <t>GBC DocuBind 300 Electric Binding Machine</t>
  </si>
  <si>
    <t>US-2015-145436</t>
  </si>
  <si>
    <t>Global Low Back Tilter Chair</t>
  </si>
  <si>
    <t>Global Push Button Manager's Chair, Indigo</t>
  </si>
  <si>
    <t>US-2015-150630</t>
  </si>
  <si>
    <t>Avery Recycled Flexi-View Covers for Binding Systems</t>
  </si>
  <si>
    <t>BOSTON Model 1800 Electric Pencil Sharpeners, Putty/Woodgrain</t>
  </si>
  <si>
    <t>Acco Pressboard Covers with Storage Hooks, 14 7/8" x 11", Executive Red</t>
  </si>
  <si>
    <t>Lumber Crayons</t>
  </si>
  <si>
    <t>US-2015-156867</t>
  </si>
  <si>
    <t>Aurora</t>
  </si>
  <si>
    <t>Logitech K350 2.4Ghz Wireless Keyboard</t>
  </si>
  <si>
    <t>Deflect-o DuraMat Lighweight, Studded, Beveled Mat for Low Pile Carpeting</t>
  </si>
  <si>
    <t>Avery Trapezoid Ring Binder, 3" Capacity, Black, 1040 sheets</t>
  </si>
  <si>
    <t>US-2015-159982</t>
  </si>
  <si>
    <t>Belkin 19" Vented Equipment Shelf, Black</t>
  </si>
  <si>
    <t>Logitech Mobile Speakerphone P710e -Â speaker phone</t>
  </si>
  <si>
    <t>US-2015-161991</t>
  </si>
  <si>
    <t>Round Ring Binders</t>
  </si>
  <si>
    <t>Bose SoundLink Bluetooth Speaker</t>
  </si>
  <si>
    <t>US-2015-164175</t>
  </si>
  <si>
    <t>Global Value Mid-Back Manager's Chair, Gray</t>
  </si>
  <si>
    <t>US-2015-168935</t>
  </si>
  <si>
    <t>Pembroke Pines</t>
  </si>
  <si>
    <t>Hon Practical Foundations 30 x 60 Training Table, Light Gray/Charcoal</t>
  </si>
  <si>
    <t>Logitech Media Keyboard K200</t>
  </si>
  <si>
    <t>US-2016-100419</t>
  </si>
  <si>
    <t>Cardinal Hold-It CD Pocket</t>
  </si>
  <si>
    <t>US-2016-120929</t>
  </si>
  <si>
    <t>Balt Solid Wood Rectangular Table</t>
  </si>
  <si>
    <t>US-2016-123750</t>
  </si>
  <si>
    <t>Gastonia</t>
  </si>
  <si>
    <t>GBC ProClick 150 Presentation Binding System</t>
  </si>
  <si>
    <t>Woodgrain Magazine Files by Perma</t>
  </si>
  <si>
    <t>US-2016-125969</t>
  </si>
  <si>
    <t>Global Task Chair, Black</t>
  </si>
  <si>
    <t>Eldon Cleatmat Plus Chair Mats for High Pile Carpets</t>
  </si>
  <si>
    <t>US-2016-134656</t>
  </si>
  <si>
    <t>Quincy</t>
  </si>
  <si>
    <t>Xerox 1960</t>
  </si>
  <si>
    <t>US-2016-141544</t>
  </si>
  <si>
    <t>Aastra 57i VoIP phone</t>
  </si>
  <si>
    <t>File Shuttle II and Handi-File, Black</t>
  </si>
  <si>
    <t>Hon 2090 Â“Pillow SoftÂ” Series Mid Back Swivel/Tilt Chairs</t>
  </si>
  <si>
    <t>Round Specialty Laser Printer Labels</t>
  </si>
  <si>
    <t>GBC Premium Transparent Covers with Diagonal Lined Pattern</t>
  </si>
  <si>
    <t>US-2016-150147</t>
  </si>
  <si>
    <t>AT&amp;T 841000 Phone</t>
  </si>
  <si>
    <t>Ibico Recycled Grain-Textured Covers</t>
  </si>
  <si>
    <t>US-2016-157945</t>
  </si>
  <si>
    <t>Hon 4700 Series Mobuis Mid-Back Task Chairs with Adjustable Arms</t>
  </si>
  <si>
    <t>US-2017-100930</t>
  </si>
  <si>
    <t>Tampa</t>
  </si>
  <si>
    <t>Bush Advantage Collection Round Conference Table</t>
  </si>
  <si>
    <t>Bretford Rectangular Conference Table Tops</t>
  </si>
  <si>
    <t>Tenex Contemporary Contur Chairmats for Low and Medium Pile Carpet, Computer, 39" x 49"</t>
  </si>
  <si>
    <t>US-2017-107272</t>
  </si>
  <si>
    <t>US-2017-109484</t>
  </si>
  <si>
    <t>Flexible Leather- Look Classic Collection Ring Binder</t>
  </si>
  <si>
    <t>US-2017-116701</t>
  </si>
  <si>
    <t>Eureka Sanitaire  Commercial Upright</t>
  </si>
  <si>
    <t>US-2017-118038</t>
  </si>
  <si>
    <t>Economy Binders</t>
  </si>
  <si>
    <t>6" Cubicle Wall Clock, Black</t>
  </si>
  <si>
    <t>SimpliFile Personal File, Black Granite, 15w x 6-15/16d x 11-1/4h</t>
  </si>
  <si>
    <t>US-2017-119662</t>
  </si>
  <si>
    <t>US-2017-124303</t>
  </si>
  <si>
    <t>Pressboard Covers with Storage Hooks, 9 1/2" x 11", Light Blue</t>
  </si>
  <si>
    <t>Wirebound Message Books, 5-1/2 x 4 Forms, 2 or 4 Forms per Page</t>
  </si>
  <si>
    <t>US-2017-134481</t>
  </si>
  <si>
    <t>Office Impressions End Table, 20-1/2"H x 24"W x 20"D</t>
  </si>
  <si>
    <t>US-2017-145366</t>
  </si>
  <si>
    <t>Safco Commercial Shelving</t>
  </si>
  <si>
    <t>Recycled Interoffice Envelopes with String and Button Closure, 10 x 13</t>
  </si>
  <si>
    <t>US-2017-152366</t>
  </si>
  <si>
    <t>US-2017-152380</t>
  </si>
  <si>
    <t>BPI Conference Tables</t>
  </si>
  <si>
    <t>US-2017-155299</t>
  </si>
  <si>
    <t>Eureka Disposable Bags for Sanitaire Vibra Groomer I Upright Vac</t>
  </si>
  <si>
    <t>US-2017-156909</t>
  </si>
  <si>
    <t>Global Deluxe Stacking Chair, Gray</t>
  </si>
  <si>
    <t>US-2017-164147</t>
  </si>
  <si>
    <t>Xerox 1916</t>
  </si>
  <si>
    <t>TOTAL SALES=</t>
  </si>
  <si>
    <t>AVERAGE SALES=</t>
  </si>
  <si>
    <t>TOTAL PROFIT=</t>
  </si>
  <si>
    <t>TOTAL QUANTITY=</t>
  </si>
  <si>
    <t xml:space="preserve">            Key Performance Indicators                     </t>
  </si>
  <si>
    <t>Month</t>
  </si>
  <si>
    <t>Row Labels</t>
  </si>
  <si>
    <t>Grand Total</t>
  </si>
  <si>
    <t>Sum of Sales</t>
  </si>
  <si>
    <t>1.SALES BY REGION</t>
  </si>
  <si>
    <t>2.SALES BY CATEGORY</t>
  </si>
  <si>
    <t>Sum of Profit</t>
  </si>
  <si>
    <t>3.PROFIT BY REGION</t>
  </si>
  <si>
    <t>4.TOP 10 PRODUCTS</t>
  </si>
  <si>
    <t>Jan</t>
  </si>
  <si>
    <t>Feb</t>
  </si>
  <si>
    <t>Mar</t>
  </si>
  <si>
    <t>Apr</t>
  </si>
  <si>
    <t>May</t>
  </si>
  <si>
    <t>Jun</t>
  </si>
  <si>
    <t>Jul</t>
  </si>
  <si>
    <t>Aug</t>
  </si>
  <si>
    <t>Sep</t>
  </si>
  <si>
    <t>Oct</t>
  </si>
  <si>
    <t>Nov</t>
  </si>
  <si>
    <t>Dec</t>
  </si>
  <si>
    <t>5.MONTHLY SALES TREND</t>
  </si>
  <si>
    <t xml:space="preserve">Profit margin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</si>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</sst>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4.9989318521683403E-2"/>
      <name val="Calibri"/>
      <family val="2"/>
      <scheme val="minor"/>
    </font>
    <font>
      <sz val="11"/>
      <color theme="1" tint="4.9989318521683403E-2"/>
      <name val="Algerian"/>
      <family val="5"/>
    </font>
    <font>
      <sz val="11"/>
      <color theme="1" tint="4.9989318521683403E-2"/>
      <name val="Arial Narrow"/>
      <family val="2"/>
    </font>
    <font>
      <sz val="11"/>
      <color theme="1" tint="4.9989318521683403E-2"/>
      <name val="Bahnschrift SemiBold SemiConden"/>
      <family val="2"/>
    </font>
    <font>
      <u/>
      <sz val="11"/>
      <color theme="1"/>
      <name val="Calibri"/>
      <family val="2"/>
      <scheme val="minor"/>
    </font>
    <font>
      <u/>
      <sz val="11"/>
      <color theme="1" tint="4.9989318521683403E-2"/>
      <name val="Eras Bold ITC"/>
      <family val="2"/>
    </font>
    <font>
      <sz val="16"/>
      <color theme="1"/>
      <name val="Arial Black"/>
      <family val="2"/>
    </font>
    <font>
      <sz val="18"/>
      <color theme="1"/>
      <name val="Arial Black"/>
      <family val="2"/>
    </font>
    <font>
      <sz val="20"/>
      <color theme="1"/>
      <name val="Arial Black"/>
      <family val="2"/>
    </font>
    <font>
      <sz val="18"/>
      <color theme="1"/>
      <name val="Calibri"/>
      <family val="2"/>
      <scheme val="minor"/>
    </font>
    <font>
      <b/>
      <sz val="14"/>
      <color theme="1"/>
      <name val="Calibri"/>
      <family val="2"/>
      <scheme val="minor"/>
    </font>
    <font>
      <b/>
      <sz val="14"/>
      <color theme="1" tint="4.9989318521683403E-2"/>
      <name val="Calibri"/>
      <family val="2"/>
      <scheme val="minor"/>
    </font>
    <font>
      <sz val="14"/>
      <color theme="1" tint="4.9989318521683403E-2"/>
      <name val="Calibri"/>
      <family val="2"/>
      <scheme val="minor"/>
    </font>
    <font>
      <b/>
      <sz val="12"/>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5" tint="-0.249977111117893"/>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18" fillId="0" borderId="0" xfId="0" applyFont="1"/>
    <xf numFmtId="0" fontId="19" fillId="34" borderId="14" xfId="0" applyFont="1" applyFill="1" applyBorder="1" applyAlignment="1">
      <alignment wrapText="1"/>
    </xf>
    <xf numFmtId="0" fontId="18" fillId="34" borderId="15" xfId="0" applyFont="1" applyFill="1" applyBorder="1" applyAlignment="1">
      <alignment wrapText="1"/>
    </xf>
    <xf numFmtId="0" fontId="19" fillId="37" borderId="15" xfId="0" applyFont="1" applyFill="1" applyBorder="1" applyAlignment="1">
      <alignment wrapText="1"/>
    </xf>
    <xf numFmtId="0" fontId="21" fillId="35" borderId="11" xfId="0" applyFont="1" applyFill="1" applyBorder="1" applyAlignment="1">
      <alignment wrapText="1"/>
    </xf>
    <xf numFmtId="0" fontId="18" fillId="35" borderId="12" xfId="0" applyFont="1" applyFill="1" applyBorder="1"/>
    <xf numFmtId="0" fontId="18" fillId="36" borderId="12" xfId="0" applyFont="1" applyFill="1" applyBorder="1" applyAlignment="1">
      <alignment wrapText="1"/>
    </xf>
    <xf numFmtId="0" fontId="18" fillId="39" borderId="13" xfId="0" applyFont="1" applyFill="1" applyBorder="1"/>
    <xf numFmtId="0" fontId="18" fillId="0" borderId="10" xfId="0" applyFont="1" applyBorder="1"/>
    <xf numFmtId="0" fontId="22" fillId="0" borderId="0" xfId="0" applyFont="1"/>
    <xf numFmtId="0" fontId="0" fillId="0" borderId="0" xfId="0" pivotButton="1"/>
    <xf numFmtId="0" fontId="0" fillId="0" borderId="0" xfId="0" applyAlignment="1">
      <alignment horizontal="left"/>
    </xf>
    <xf numFmtId="0" fontId="0" fillId="0" borderId="10" xfId="0" applyBorder="1"/>
    <xf numFmtId="14" fontId="0" fillId="0" borderId="10" xfId="0" applyNumberFormat="1" applyBorder="1"/>
    <xf numFmtId="0" fontId="0" fillId="0" borderId="17" xfId="0" applyBorder="1"/>
    <xf numFmtId="0" fontId="0" fillId="0" borderId="18" xfId="0" applyBorder="1"/>
    <xf numFmtId="0" fontId="0" fillId="0" borderId="19" xfId="0" applyBorder="1"/>
    <xf numFmtId="0" fontId="0" fillId="0" borderId="15" xfId="0" applyBorder="1"/>
    <xf numFmtId="0" fontId="0" fillId="0" borderId="16" xfId="0" applyBorder="1"/>
    <xf numFmtId="0" fontId="0" fillId="0" borderId="23" xfId="0" applyBorder="1"/>
    <xf numFmtId="0" fontId="0" fillId="0" borderId="24" xfId="0" applyBorder="1"/>
    <xf numFmtId="0" fontId="0" fillId="0" borderId="25" xfId="0" applyBorder="1"/>
    <xf numFmtId="14" fontId="0" fillId="0" borderId="0" xfId="0" applyNumberFormat="1"/>
    <xf numFmtId="0" fontId="0" fillId="0" borderId="26" xfId="0" applyBorder="1"/>
    <xf numFmtId="0" fontId="28" fillId="35" borderId="20" xfId="0" applyFont="1" applyFill="1" applyBorder="1" applyAlignment="1">
      <alignment horizontal="center"/>
    </xf>
    <xf numFmtId="14" fontId="28" fillId="35" borderId="21" xfId="0" applyNumberFormat="1" applyFont="1" applyFill="1" applyBorder="1" applyAlignment="1">
      <alignment horizontal="center"/>
    </xf>
    <xf numFmtId="0" fontId="28" fillId="35" borderId="21" xfId="0" applyFont="1" applyFill="1" applyBorder="1" applyAlignment="1">
      <alignment horizontal="center"/>
    </xf>
    <xf numFmtId="0" fontId="28" fillId="35" borderId="22" xfId="0" applyFont="1" applyFill="1" applyBorder="1" applyAlignment="1">
      <alignment horizontal="center"/>
    </xf>
    <xf numFmtId="0" fontId="29" fillId="33" borderId="10" xfId="0" applyFont="1" applyFill="1" applyBorder="1" applyAlignment="1">
      <alignment horizontal="center"/>
    </xf>
    <xf numFmtId="0" fontId="30" fillId="0" borderId="10" xfId="0" applyFont="1" applyBorder="1" applyAlignment="1">
      <alignment horizontal="center"/>
    </xf>
    <xf numFmtId="0" fontId="23" fillId="0" borderId="0" xfId="0" applyFont="1"/>
    <xf numFmtId="0" fontId="18" fillId="0" borderId="0" xfId="0" applyFont="1"/>
    <xf numFmtId="0" fontId="25" fillId="0" borderId="0" xfId="0" applyFont="1" applyAlignment="1">
      <alignment horizontal="center"/>
    </xf>
    <xf numFmtId="0" fontId="0" fillId="0" borderId="0" xfId="0" applyAlignment="1">
      <alignment horizontal="center"/>
    </xf>
    <xf numFmtId="0" fontId="24" fillId="0" borderId="0" xfId="0" applyFont="1" applyAlignment="1">
      <alignment horizontal="center"/>
    </xf>
    <xf numFmtId="0" fontId="27" fillId="0" borderId="0" xfId="0" applyFont="1" applyAlignment="1">
      <alignment horizontal="center"/>
    </xf>
    <xf numFmtId="0" fontId="26" fillId="0" borderId="0" xfId="0" applyFont="1" applyAlignment="1">
      <alignment horizontal="center"/>
    </xf>
    <xf numFmtId="0" fontId="29" fillId="40" borderId="17" xfId="0" applyFont="1" applyFill="1" applyBorder="1" applyAlignment="1">
      <alignment horizontal="center"/>
    </xf>
    <xf numFmtId="0" fontId="18" fillId="0" borderId="17" xfId="0" applyFont="1" applyBorder="1"/>
    <xf numFmtId="0" fontId="20" fillId="38" borderId="27" xfId="0" applyFont="1" applyFill="1" applyBorder="1" applyAlignment="1">
      <alignment wrapText="1"/>
    </xf>
    <xf numFmtId="0" fontId="0" fillId="0" borderId="28" xfId="0" applyBorder="1"/>
    <xf numFmtId="0" fontId="31" fillId="41" borderId="10" xfId="0" applyFont="1" applyFill="1" applyBorder="1"/>
    <xf numFmtId="0" fontId="29" fillId="39" borderId="10" xfId="0" applyFont="1" applyFill="1"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[superstore_500_records_clean.xlsx]dashboards!PivotTable1</c:name>
    <c:fmtId val="0"/>
  </c:pivotSource>
  <c:chart>
    <c:autoTitleDeleted val="1"/>
    <c:pivotFmts>
      <c:pivotFmt>
        <c:idx val="0"/>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7270341207347"/>
          <c:y val="8.1106664945570325E-2"/>
          <c:w val="0.69955314960629922"/>
          <c:h val="0.70990337273414594"/>
        </c:manualLayout>
      </c:layout>
      <c:barChart>
        <c:barDir val="bar"/>
        <c:grouping val="clustered"/>
        <c:varyColors val="0"/>
        <c:ser>
          <c:idx val="0"/>
          <c:order val="0"/>
          <c:tx>
            <c:strRef>
              <c:f>dashboards!$B$3</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dashboards!$A$4:$A$8</c:f>
              <c:strCache>
                <c:ptCount val="4"/>
                <c:pt idx="0">
                  <c:v>Central</c:v>
                </c:pt>
                <c:pt idx="1">
                  <c:v>East</c:v>
                </c:pt>
                <c:pt idx="2">
                  <c:v>South</c:v>
                </c:pt>
                <c:pt idx="3">
                  <c:v>West</c:v>
                </c:pt>
              </c:strCache>
            </c:strRef>
          </c:cat>
          <c:val>
            <c:numRef>
              <c:f>dashboards!$B$4:$B$8</c:f>
              <c:numCache>
                <c:formatCode>General</c:formatCode>
                <c:ptCount val="4"/>
                <c:pt idx="0">
                  <c:v>45502.307599999971</c:v>
                </c:pt>
                <c:pt idx="1">
                  <c:v>33797.923999999999</c:v>
                </c:pt>
                <c:pt idx="2">
                  <c:v>12344.4475</c:v>
                </c:pt>
                <c:pt idx="3">
                  <c:v>37781.636999999988</c:v>
                </c:pt>
              </c:numCache>
            </c:numRef>
          </c:val>
          <c:extLst>
            <c:ext xmlns:c16="http://schemas.microsoft.com/office/drawing/2014/chart" uri="{C3380CC4-5D6E-409C-BE32-E72D297353CC}">
              <c16:uniqueId val="{00000000-9389-4DC0-A0E6-00AEC292662D}"/>
            </c:ext>
          </c:extLst>
        </c:ser>
        <c:dLbls>
          <c:dLblPos val="inEnd"/>
          <c:showLegendKey val="0"/>
          <c:showVal val="1"/>
          <c:showCatName val="0"/>
          <c:showSerName val="0"/>
          <c:showPercent val="0"/>
          <c:showBubbleSize val="0"/>
        </c:dLbls>
        <c:gapWidth val="65"/>
        <c:axId val="873090112"/>
        <c:axId val="873106912"/>
      </c:barChart>
      <c:catAx>
        <c:axId val="87309011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73106912"/>
        <c:crosses val="autoZero"/>
        <c:auto val="1"/>
        <c:lblAlgn val="ctr"/>
        <c:lblOffset val="100"/>
        <c:noMultiLvlLbl val="0"/>
      </c:catAx>
      <c:valAx>
        <c:axId val="87310691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309011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[superstore_500_records_clean.xlsx]dashboards!PivotTable2</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tint val="65000"/>
            </a:schemeClr>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hade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586776859504134E-2"/>
          <c:y val="0.13446713656205819"/>
          <c:w val="0.71714366282727071"/>
          <c:h val="0.80873950389228866"/>
        </c:manualLayout>
      </c:layout>
      <c:pie3DChart>
        <c:varyColors val="1"/>
        <c:ser>
          <c:idx val="0"/>
          <c:order val="0"/>
          <c:tx>
            <c:strRef>
              <c:f>dashboards!$B$22</c:f>
              <c:strCache>
                <c:ptCount val="1"/>
                <c:pt idx="0">
                  <c:v>Total</c:v>
                </c:pt>
              </c:strCache>
            </c:strRef>
          </c:tx>
          <c:dPt>
            <c:idx val="0"/>
            <c:bubble3D val="0"/>
            <c:spPr>
              <a:solidFill>
                <a:schemeClr val="accent1">
                  <a:tint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A82-4AD7-A2E7-1AB4A55A90C8}"/>
              </c:ext>
            </c:extLst>
          </c:dPt>
          <c:dPt>
            <c:idx val="1"/>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6A82-4AD7-A2E7-1AB4A55A90C8}"/>
              </c:ext>
            </c:extLst>
          </c:dPt>
          <c:dPt>
            <c:idx val="2"/>
            <c:bubble3D val="0"/>
            <c:spPr>
              <a:solidFill>
                <a:schemeClr val="accent1">
                  <a:shade val="65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6A82-4AD7-A2E7-1AB4A55A90C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dashboards!$A$23:$A$26</c:f>
              <c:strCache>
                <c:ptCount val="3"/>
                <c:pt idx="0">
                  <c:v>Furniture</c:v>
                </c:pt>
                <c:pt idx="1">
                  <c:v>Office Supplies</c:v>
                </c:pt>
                <c:pt idx="2">
                  <c:v>Technology</c:v>
                </c:pt>
              </c:strCache>
            </c:strRef>
          </c:cat>
          <c:val>
            <c:numRef>
              <c:f>dashboards!$B$23:$B$26</c:f>
              <c:numCache>
                <c:formatCode>General</c:formatCode>
                <c:ptCount val="3"/>
                <c:pt idx="0">
                  <c:v>45916.910099999986</c:v>
                </c:pt>
                <c:pt idx="1">
                  <c:v>31467.874999999985</c:v>
                </c:pt>
                <c:pt idx="2">
                  <c:v>52041.531000000025</c:v>
                </c:pt>
              </c:numCache>
            </c:numRef>
          </c:val>
          <c:extLst>
            <c:ext xmlns:c16="http://schemas.microsoft.com/office/drawing/2014/chart" uri="{C3380CC4-5D6E-409C-BE32-E72D297353CC}">
              <c16:uniqueId val="{00000000-E21F-4327-AEB3-5B23C6AC4C8F}"/>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78601418624324848"/>
          <c:y val="0.29412286766906431"/>
          <c:w val="0.19745688813691678"/>
          <c:h val="0.4937964176496286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[superstore_500_records_clean.xlsx]dashboards!PivotTable3</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6547235286864"/>
          <c:y val="5.9907090201424144E-2"/>
          <c:w val="0.62686809702478463"/>
          <c:h val="0.7389497725085048"/>
        </c:manualLayout>
      </c:layout>
      <c:barChart>
        <c:barDir val="col"/>
        <c:grouping val="clustered"/>
        <c:varyColors val="0"/>
        <c:ser>
          <c:idx val="0"/>
          <c:order val="0"/>
          <c:tx>
            <c:strRef>
              <c:f>dashboards!$B$44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ln>
              <a:effectLst/>
            </c:spPr>
            <c:trendlineType val="linear"/>
            <c:dispRSqr val="0"/>
            <c:dispEq val="0"/>
          </c:trendline>
          <c:trendline>
            <c:spPr>
              <a:ln w="19050" cap="rnd">
                <a:solidFill>
                  <a:schemeClr val="accent6"/>
                </a:solidFill>
              </a:ln>
              <a:effectLst/>
            </c:spPr>
            <c:trendlineType val="linear"/>
            <c:dispRSqr val="0"/>
            <c:dispEq val="0"/>
          </c:trendline>
          <c:cat>
            <c:strRef>
              <c:f>dashboards!$A$45:$A$49</c:f>
              <c:strCache>
                <c:ptCount val="4"/>
                <c:pt idx="0">
                  <c:v>Central</c:v>
                </c:pt>
                <c:pt idx="1">
                  <c:v>East</c:v>
                </c:pt>
                <c:pt idx="2">
                  <c:v>South</c:v>
                </c:pt>
                <c:pt idx="3">
                  <c:v>West</c:v>
                </c:pt>
              </c:strCache>
            </c:strRef>
          </c:cat>
          <c:val>
            <c:numRef>
              <c:f>dashboards!$B$45:$B$49</c:f>
              <c:numCache>
                <c:formatCode>General</c:formatCode>
                <c:ptCount val="4"/>
                <c:pt idx="0">
                  <c:v>-849.61419999999941</c:v>
                </c:pt>
                <c:pt idx="1">
                  <c:v>1712.1438999999973</c:v>
                </c:pt>
                <c:pt idx="2">
                  <c:v>-424.12810000000002</c:v>
                </c:pt>
                <c:pt idx="3">
                  <c:v>4925.109400000003</c:v>
                </c:pt>
              </c:numCache>
            </c:numRef>
          </c:val>
          <c:extLst>
            <c:ext xmlns:c16="http://schemas.microsoft.com/office/drawing/2014/chart" uri="{C3380CC4-5D6E-409C-BE32-E72D297353CC}">
              <c16:uniqueId val="{00000000-B752-4B75-A6FE-E98FC3206492}"/>
            </c:ext>
          </c:extLst>
        </c:ser>
        <c:dLbls>
          <c:dLblPos val="outEnd"/>
          <c:showLegendKey val="0"/>
          <c:showVal val="1"/>
          <c:showCatName val="0"/>
          <c:showSerName val="0"/>
          <c:showPercent val="0"/>
          <c:showBubbleSize val="0"/>
        </c:dLbls>
        <c:gapWidth val="100"/>
        <c:overlap val="-24"/>
        <c:axId val="873063232"/>
        <c:axId val="873073792"/>
      </c:barChart>
      <c:catAx>
        <c:axId val="873063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73792"/>
        <c:crosses val="autoZero"/>
        <c:auto val="1"/>
        <c:lblAlgn val="ctr"/>
        <c:lblOffset val="100"/>
        <c:noMultiLvlLbl val="0"/>
      </c:catAx>
      <c:valAx>
        <c:axId val="87307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063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740135461255267"/>
          <c:y val="0.33997173430244298"/>
          <c:w val="0.19582012189751447"/>
          <c:h val="0.33104525395863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[superstore_500_records_clean.xlsx]dashboards!PivotTable4</c:name>
    <c:fmtId val="0"/>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59802358553717E-2"/>
          <c:y val="5.961173122624143E-2"/>
          <c:w val="0.76524571310348188"/>
          <c:h val="0.71253097859714232"/>
        </c:manualLayout>
      </c:layout>
      <c:barChart>
        <c:barDir val="bar"/>
        <c:grouping val="clustered"/>
        <c:varyColors val="0"/>
        <c:ser>
          <c:idx val="0"/>
          <c:order val="0"/>
          <c:tx>
            <c:strRef>
              <c:f>dashboards!$B$67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exp"/>
            <c:dispRSqr val="0"/>
            <c:dispEq val="0"/>
          </c:trendline>
          <c:cat>
            <c:strRef>
              <c:f>dashboards!$A$68:$A$78</c:f>
              <c:strCache>
                <c:ptCount val="10"/>
                <c:pt idx="0">
                  <c:v>Lexmark MX611dhe Monochrome Laser Printer</c:v>
                </c:pt>
                <c:pt idx="1">
                  <c:v>Riverside Palais Royal Lawyers Bookcase, Royale Cherry Finish</c:v>
                </c:pt>
                <c:pt idx="2">
                  <c:v>GBC DocuBind P400 Electric Binding System</c:v>
                </c:pt>
                <c:pt idx="3">
                  <c:v>Canon imageCLASS MF7460 Monochrome Digital Laser Multifunction Copier</c:v>
                </c:pt>
                <c:pt idx="4">
                  <c:v>LogitechÂ P710e Mobile Speakerphone</c:v>
                </c:pt>
                <c:pt idx="5">
                  <c:v>Global Deluxe High-Back Manager's Chair</c:v>
                </c:pt>
                <c:pt idx="6">
                  <c:v>Apple iPhone 5S</c:v>
                </c:pt>
                <c:pt idx="7">
                  <c:v>Hon Deluxe Fabric Upholstered Stacking Chairs, Rounded Back</c:v>
                </c:pt>
                <c:pt idx="8">
                  <c:v>Xerox WorkCentre 6505DN Laser Multifunction Printer</c:v>
                </c:pt>
                <c:pt idx="9">
                  <c:v>Atlantic Metals Mobile 3-Shelf Bookcases, Custom Colors</c:v>
                </c:pt>
              </c:strCache>
            </c:strRef>
          </c:cat>
          <c:val>
            <c:numRef>
              <c:f>dashboards!$B$68:$B$78</c:f>
              <c:numCache>
                <c:formatCode>General</c:formatCode>
                <c:ptCount val="10"/>
                <c:pt idx="0">
                  <c:v>11219.934000000001</c:v>
                </c:pt>
                <c:pt idx="1">
                  <c:v>5479.6956</c:v>
                </c:pt>
                <c:pt idx="2">
                  <c:v>4355.1679999999997</c:v>
                </c:pt>
                <c:pt idx="3">
                  <c:v>3991.98</c:v>
                </c:pt>
                <c:pt idx="4">
                  <c:v>3965.346</c:v>
                </c:pt>
                <c:pt idx="5">
                  <c:v>3059.9859999999999</c:v>
                </c:pt>
                <c:pt idx="6">
                  <c:v>2735.9520000000002</c:v>
                </c:pt>
                <c:pt idx="7">
                  <c:v>2683.7799999999997</c:v>
                </c:pt>
                <c:pt idx="8">
                  <c:v>2519.9580000000001</c:v>
                </c:pt>
                <c:pt idx="9">
                  <c:v>2202.6711999999998</c:v>
                </c:pt>
              </c:numCache>
            </c:numRef>
          </c:val>
          <c:extLst>
            <c:ext xmlns:c16="http://schemas.microsoft.com/office/drawing/2014/chart" uri="{C3380CC4-5D6E-409C-BE32-E72D297353CC}">
              <c16:uniqueId val="{00000000-489A-4342-A1C5-C02BA3DB7D69}"/>
            </c:ext>
          </c:extLst>
        </c:ser>
        <c:dLbls>
          <c:dLblPos val="outEnd"/>
          <c:showLegendKey val="0"/>
          <c:showVal val="1"/>
          <c:showCatName val="0"/>
          <c:showSerName val="0"/>
          <c:showPercent val="0"/>
          <c:showBubbleSize val="0"/>
        </c:dLbls>
        <c:gapWidth val="219"/>
        <c:axId val="1252681760"/>
        <c:axId val="1252682240"/>
      </c:barChart>
      <c:catAx>
        <c:axId val="1252681760"/>
        <c:scaling>
          <c:orientation val="minMax"/>
        </c:scaling>
        <c:delete val="1"/>
        <c:axPos val="l"/>
        <c:numFmt formatCode="General" sourceLinked="1"/>
        <c:majorTickMark val="out"/>
        <c:minorTickMark val="none"/>
        <c:tickLblPos val="nextTo"/>
        <c:crossAx val="1252682240"/>
        <c:crosses val="autoZero"/>
        <c:auto val="1"/>
        <c:lblAlgn val="ctr"/>
        <c:lblOffset val="100"/>
        <c:noMultiLvlLbl val="0"/>
      </c:catAx>
      <c:valAx>
        <c:axId val="125268224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2526817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[superstore_500_records_clean.xlsx]dashboards!PivotTable5</c:name>
    <c:fmtId val="0"/>
  </c:pivotSource>
  <c:chart>
    <c:autoTitleDeleted val="1"/>
    <c:pivotFmts>
      <c:pivotFmt>
        <c:idx val="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36215092439943"/>
          <c:y val="9.1357613683700878E-2"/>
          <c:w val="0.79587061866168618"/>
          <c:h val="0.81902561173352173"/>
        </c:manualLayout>
      </c:layout>
      <c:lineChart>
        <c:grouping val="stacked"/>
        <c:varyColors val="0"/>
        <c:ser>
          <c:idx val="0"/>
          <c:order val="0"/>
          <c:tx>
            <c:strRef>
              <c:f>dashboards!$B$105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dashboards!$A$106:$A$119</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dashboards!$B$106:$B$119</c:f>
              <c:numCache>
                <c:formatCode>General</c:formatCode>
                <c:ptCount val="13"/>
                <c:pt idx="0">
                  <c:v>2488.3240000000001</c:v>
                </c:pt>
                <c:pt idx="1">
                  <c:v>861.36200000000008</c:v>
                </c:pt>
                <c:pt idx="2">
                  <c:v>2774.3328000000001</c:v>
                </c:pt>
                <c:pt idx="3">
                  <c:v>8681.1584999999977</c:v>
                </c:pt>
                <c:pt idx="4">
                  <c:v>814.97399999999993</c:v>
                </c:pt>
                <c:pt idx="5">
                  <c:v>14645.988999999998</c:v>
                </c:pt>
                <c:pt idx="6">
                  <c:v>3671.0879999999993</c:v>
                </c:pt>
                <c:pt idx="7">
                  <c:v>5941.8580000000002</c:v>
                </c:pt>
                <c:pt idx="8">
                  <c:v>41174.699599999993</c:v>
                </c:pt>
                <c:pt idx="9">
                  <c:v>10674.363499999996</c:v>
                </c:pt>
                <c:pt idx="10">
                  <c:v>15764.404500000001</c:v>
                </c:pt>
                <c:pt idx="11">
                  <c:v>21933.762199999997</c:v>
                </c:pt>
              </c:numCache>
            </c:numRef>
          </c:val>
          <c:smooth val="0"/>
          <c:extLst>
            <c:ext xmlns:c16="http://schemas.microsoft.com/office/drawing/2014/chart" uri="{C3380CC4-5D6E-409C-BE32-E72D297353CC}">
              <c16:uniqueId val="{00000000-8D39-4599-B8A6-0DB04B256E17}"/>
            </c:ext>
          </c:extLst>
        </c:ser>
        <c:dLbls>
          <c:dLblPos val="ctr"/>
          <c:showLegendKey val="0"/>
          <c:showVal val="1"/>
          <c:showCatName val="0"/>
          <c:showSerName val="0"/>
          <c:showPercent val="0"/>
          <c:showBubbleSize val="0"/>
        </c:dLbls>
        <c:marker val="1"/>
        <c:smooth val="0"/>
        <c:axId val="1605796751"/>
        <c:axId val="1605780911"/>
      </c:lineChart>
      <c:catAx>
        <c:axId val="16057967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80911"/>
        <c:crosses val="autoZero"/>
        <c:auto val="1"/>
        <c:lblAlgn val="ctr"/>
        <c:lblOffset val="100"/>
        <c:noMultiLvlLbl val="0"/>
      </c:catAx>
      <c:valAx>
        <c:axId val="160578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7967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293370</xdr:colOff>
      <xdr:row>3</xdr:row>
      <xdr:rowOff>106680</xdr:rowOff>
    </xdr:from>
    <xdr:to>
      <xdr:col>9</xdr:col>
      <xdr:colOff>598170</xdr:colOff>
      <xdr:row>21</xdr:row>
      <xdr:rowOff>83820</xdr:rowOff>
    </xdr:to>
    <xdr:graphicFrame macro="">
      <xdr:nvGraphicFramePr>
        <xdr:cNvPr id="2" name="Chart 1">
          <a:extLst>
            <a:ext uri="{FF2B5EF4-FFF2-40B4-BE49-F238E27FC236}">
              <a16:creationId xmlns:a16="http://schemas.microsoft.com/office/drawing/2014/main" id="{063195F3-B7AA-4316-74E9-F94A045E0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xdr:colOff>
      <xdr:row>24</xdr:row>
      <xdr:rowOff>53340</xdr:rowOff>
    </xdr:from>
    <xdr:to>
      <xdr:col>9</xdr:col>
      <xdr:colOff>369570</xdr:colOff>
      <xdr:row>40</xdr:row>
      <xdr:rowOff>34290</xdr:rowOff>
    </xdr:to>
    <xdr:graphicFrame macro="">
      <xdr:nvGraphicFramePr>
        <xdr:cNvPr id="3" name="Chart 2">
          <a:extLst>
            <a:ext uri="{FF2B5EF4-FFF2-40B4-BE49-F238E27FC236}">
              <a16:creationId xmlns:a16="http://schemas.microsoft.com/office/drawing/2014/main" id="{1319AF5E-CCED-295D-E78D-199DD2A85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102870</xdr:colOff>
      <xdr:row>44</xdr:row>
      <xdr:rowOff>76200</xdr:rowOff>
    </xdr:from>
    <xdr:to>
      <xdr:col>9</xdr:col>
      <xdr:colOff>377190</xdr:colOff>
      <xdr:row>63</xdr:row>
      <xdr:rowOff>68580</xdr:rowOff>
    </xdr:to>
    <xdr:graphicFrame macro="">
      <xdr:nvGraphicFramePr>
        <xdr:cNvPr id="4" name="Chart 3">
          <a:extLst>
            <a:ext uri="{FF2B5EF4-FFF2-40B4-BE49-F238E27FC236}">
              <a16:creationId xmlns:a16="http://schemas.microsoft.com/office/drawing/2014/main" id="{2B25872D-5D42-D587-FAF0-F38517115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108773</xdr:colOff>
      <xdr:row>70</xdr:row>
      <xdr:rowOff>165869</xdr:rowOff>
    </xdr:from>
    <xdr:to>
      <xdr:col>18</xdr:col>
      <xdr:colOff>215453</xdr:colOff>
      <xdr:row>101</xdr:row>
      <xdr:rowOff>46284</xdr:rowOff>
    </xdr:to>
    <xdr:graphicFrame macro="">
      <xdr:nvGraphicFramePr>
        <xdr:cNvPr id="5" name="Chart 4">
          <a:extLst>
            <a:ext uri="{FF2B5EF4-FFF2-40B4-BE49-F238E27FC236}">
              <a16:creationId xmlns:a16="http://schemas.microsoft.com/office/drawing/2014/main" id="{AC2A268A-2B95-334F-26C2-1AC7A52C8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114299</xdr:colOff>
      <xdr:row>107</xdr:row>
      <xdr:rowOff>150496</xdr:rowOff>
    </xdr:from>
    <xdr:to>
      <xdr:col>13</xdr:col>
      <xdr:colOff>266700</xdr:colOff>
      <xdr:row>133</xdr:row>
      <xdr:rowOff>179070</xdr:rowOff>
    </xdr:to>
    <xdr:graphicFrame macro="">
      <xdr:nvGraphicFramePr>
        <xdr:cNvPr id="6" name="Chart 5">
          <a:extLst>
            <a:ext uri="{FF2B5EF4-FFF2-40B4-BE49-F238E27FC236}">
              <a16:creationId xmlns:a16="http://schemas.microsoft.com/office/drawing/2014/main" id="{B8BD2139-F84D-EA06-51FA-B91C89CE8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434340</xdr:colOff>
      <xdr:row>25</xdr:row>
      <xdr:rowOff>114300</xdr:rowOff>
    </xdr:from>
    <xdr:to>
      <xdr:col>12</xdr:col>
      <xdr:colOff>434340</xdr:colOff>
      <xdr:row>37</xdr:row>
      <xdr:rowOff>68581</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1ECCA738-50BC-FD3E-82F4-1D69EF592D3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423660" y="4975860"/>
              <a:ext cx="1828800" cy="2148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556260</xdr:colOff>
      <xdr:row>24</xdr:row>
      <xdr:rowOff>175260</xdr:rowOff>
    </xdr:from>
    <xdr:to>
      <xdr:col>15</xdr:col>
      <xdr:colOff>556260</xdr:colOff>
      <xdr:row>38</xdr:row>
      <xdr:rowOff>81915</xdr:rowOff>
    </xdr:to>
    <mc:AlternateContent xmlns:mc="http://schemas.openxmlformats.org/markup-compatibility/2006">
      <mc:Choice xmlns:a14="http://schemas.microsoft.com/office/drawing/2010/main" Requires="a14">
        <xdr:graphicFrame macro="">
          <xdr:nvGraphicFramePr>
            <xdr:cNvPr id="8" name="Sales">
              <a:extLst>
                <a:ext uri="{FF2B5EF4-FFF2-40B4-BE49-F238E27FC236}">
                  <a16:creationId xmlns:a16="http://schemas.microsoft.com/office/drawing/2014/main" id="{3AA97DD0-DE3E-D300-3755-DA94744CC7D9}"/>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8374380" y="485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571500</xdr:colOff>
      <xdr:row>114</xdr:row>
      <xdr:rowOff>175260</xdr:rowOff>
    </xdr:from>
    <xdr:to>
      <xdr:col>16</xdr:col>
      <xdr:colOff>571500</xdr:colOff>
      <xdr:row>128</xdr:row>
      <xdr:rowOff>81915</xdr:rowOff>
    </xdr:to>
    <mc:AlternateContent xmlns:mc="http://schemas.openxmlformats.org/markup-compatibility/2006">
      <mc:Choice xmlns:a14="http://schemas.microsoft.com/office/drawing/2010/main" Requires="a14">
        <xdr:graphicFrame macro="">
          <xdr:nvGraphicFramePr>
            <xdr:cNvPr id="14" name="Month">
              <a:extLst>
                <a:ext uri="{FF2B5EF4-FFF2-40B4-BE49-F238E27FC236}">
                  <a16:creationId xmlns:a16="http://schemas.microsoft.com/office/drawing/2014/main" id="{9B0B7CCE-55FE-3DE3-4E6C-32E2C23D20B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999220" y="21480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144780</xdr:colOff>
      <xdr:row>114</xdr:row>
      <xdr:rowOff>160020</xdr:rowOff>
    </xdr:from>
    <xdr:to>
      <xdr:col>20</xdr:col>
      <xdr:colOff>144780</xdr:colOff>
      <xdr:row>128</xdr:row>
      <xdr:rowOff>66675</xdr:rowOff>
    </xdr:to>
    <mc:AlternateContent xmlns:mc="http://schemas.openxmlformats.org/markup-compatibility/2006">
      <mc:Choice xmlns:a14="http://schemas.microsoft.com/office/drawing/2010/main" Requires="a14">
        <xdr:graphicFrame macro="">
          <xdr:nvGraphicFramePr>
            <xdr:cNvPr id="15" name="Sales 1">
              <a:extLst>
                <a:ext uri="{FF2B5EF4-FFF2-40B4-BE49-F238E27FC236}">
                  <a16:creationId xmlns:a16="http://schemas.microsoft.com/office/drawing/2014/main" id="{BD5DC8B1-706C-B719-A98B-A801C0A1116C}"/>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11010900" y="21465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Pravallika Bokka" refreshedDate="46087.526126273151" createdVersion="8" refreshedVersion="8" minRefreshableVersion="3" recordCount="501" xr:uid="{EF53D105-1AF3-44F8-8CF1-B6B08439163E}">
  <cacheSource type="worksheet">
    <worksheetSource ref="A1:K1048576" sheet="salesdataset"/>
  </cacheSource>
  <cacheFields count="11">
    <cacheField name="Order ID" numFmtId="0">
      <sharedItems containsBlank="1"/>
    </cacheField>
    <cacheField name="Order Date" numFmtId="14">
      <sharedItems containsNonDate="0" containsDate="1" containsString="0" containsBlank="1" minDate="2014-02-12T00:00:00" maxDate="2017-12-29T00:00:00"/>
    </cacheField>
    <cacheField name="Month" numFmtId="14">
      <sharedItems containsBlank="1" count="13">
        <s v="Sep"/>
        <s v="Mar"/>
        <s v="Nov"/>
        <s v="Dec"/>
        <s v="Oct"/>
        <s v="Jun"/>
        <s v="Aug"/>
        <s v="Apr"/>
        <s v="Jul"/>
        <s v="May"/>
        <s v="Feb"/>
        <s v="Jan"/>
        <m/>
      </sharedItems>
    </cacheField>
    <cacheField name="Region" numFmtId="0">
      <sharedItems containsBlank="1" count="5">
        <s v="East"/>
        <s v="West"/>
        <s v="Central"/>
        <s v="South"/>
        <m/>
      </sharedItems>
    </cacheField>
    <cacheField name="City" numFmtId="0">
      <sharedItems containsBlank="1"/>
    </cacheField>
    <cacheField name="Category" numFmtId="0">
      <sharedItems containsBlank="1" count="4">
        <s v="Technology"/>
        <s v="Furniture"/>
        <s v="Office Supplies"/>
        <m/>
      </sharedItems>
    </cacheField>
    <cacheField name="Product Name" numFmtId="0">
      <sharedItems containsBlank="1"/>
    </cacheField>
    <cacheField name="Sales" numFmtId="0">
      <sharedItems containsString="0" containsBlank="1" containsNumber="1" minValue="1.248" maxValue="8159.9520000000002" count="475">
        <n v="69.989999999999995"/>
        <n v="457.56799999999998"/>
        <n v="665.88"/>
        <n v="1113.0239999999999"/>
        <n v="167.96799999999999"/>
        <n v="93.888000000000005"/>
        <n v="45.48"/>
        <n v="289.2"/>
        <n v="300.416"/>
        <n v="230.352"/>
        <n v="218.352"/>
        <n v="78.599999999999994"/>
        <n v="27.552"/>
        <n v="9.5679999999999996"/>
        <n v="449.15"/>
        <n v="11.07"/>
        <n v="40.095999999999997"/>
        <n v="4.72"/>
        <n v="23.975999999999999"/>
        <n v="130.464"/>
        <n v="48.86"/>
        <n v="7.28"/>
        <n v="907.15200000000004"/>
        <n v="18.504000000000001"/>
        <n v="114.9"/>
        <n v="1706.184"/>
        <n v="911.42399999999998"/>
        <n v="2.6240000000000001"/>
        <n v="20.94"/>
        <n v="110.96"/>
        <n v="340.14400000000001"/>
        <n v="87.54"/>
        <n v="17.856000000000002"/>
        <n v="509.97"/>
        <n v="30.992000000000001"/>
        <n v="71.927999999999997"/>
        <n v="176.8"/>
        <n v="211.96"/>
        <n v="5.96"/>
        <n v="159.97999999999999"/>
        <n v="7.7119999999999997"/>
        <n v="698.35199999999998"/>
        <n v="9.84"/>
        <n v="2001.86"/>
        <n v="166.72"/>
        <n v="47.88"/>
        <n v="1503.25"/>
        <n v="25.92"/>
        <n v="218.75"/>
        <n v="2.6"/>
        <n v="7.992"/>
        <n v="63.984000000000002"/>
        <n v="70.367999999999995"/>
        <n v="9.09"/>
        <n v="14.9"/>
        <n v="21.39"/>
        <n v="9.9359999999999999"/>
        <n v="8159.9520000000002"/>
        <n v="275.928"/>
        <n v="1740.06"/>
        <n v="32.064"/>
        <n v="177.98"/>
        <n v="143.976"/>
        <n v="7.4080000000000004"/>
        <n v="6.048"/>
        <n v="196.75200000000001"/>
        <n v="8.56"/>
        <n v="213.48"/>
        <n v="22.72"/>
        <n v="340.92"/>
        <n v="222.666"/>
        <n v="703.96799999999996"/>
        <n v="92.52"/>
        <n v="62.65"/>
        <n v="94.85"/>
        <n v="2735.9520000000002"/>
        <n v="39.072000000000003"/>
        <n v="7.16"/>
        <n v="503.96"/>
        <n v="149.94999999999999"/>
        <n v="29"/>
        <n v="99.135999999999996"/>
        <n v="135.88200000000001"/>
        <n v="3991.98"/>
        <n v="275.94"/>
        <n v="360"/>
        <n v="43.57"/>
        <n v="24.815999999999999"/>
        <n v="408.74400000000003"/>
        <n v="55.5"/>
        <n v="178.38399999999999"/>
        <n v="15.552"/>
        <n v="20.8"/>
        <n v="899.13599999999997"/>
        <n v="71.760000000000005"/>
        <n v="51.84"/>
        <n v="626.35199999999998"/>
        <n v="19.899999999999999"/>
        <n v="1044.6300000000001"/>
        <n v="103.92"/>
        <n v="899.91"/>
        <n v="51.311999999999998"/>
        <n v="787.53"/>
        <n v="671.93"/>
        <n v="38.22"/>
        <n v="75.180000000000007"/>
        <n v="6.16"/>
        <n v="89.99"/>
        <n v="113.328"/>
        <n v="532.39919999999995"/>
        <n v="212.05799999999999"/>
        <n v="371.16800000000001"/>
        <n v="6.63"/>
        <n v="54.384"/>
        <n v="70.12"/>
        <n v="482.34"/>
        <n v="2.96"/>
        <n v="58.38"/>
        <n v="105.52"/>
        <n v="80.88"/>
        <n v="41.9"/>
        <n v="4.96"/>
        <n v="339.96"/>
        <n v="8.6519999999999992"/>
        <n v="23.832000000000001"/>
        <n v="12.176"/>
        <n v="141.76"/>
        <n v="239.8"/>
        <n v="31.103999999999999"/>
        <n v="1038.8399999999999"/>
        <n v="14.28"/>
        <n v="105.42"/>
        <n v="13.98"/>
        <n v="25.824000000000002"/>
        <n v="146.72999999999999"/>
        <n v="79.760000000000005"/>
        <n v="3.28"/>
        <n v="4.7519999999999998"/>
        <n v="959.98400000000004"/>
        <n v="14.368"/>
        <n v="26.8"/>
        <n v="23.68"/>
        <n v="452.45"/>
        <n v="62.981999999999999"/>
        <n v="1188"/>
        <n v="89.584000000000003"/>
        <n v="12.96"/>
        <n v="53.34"/>
        <n v="32.96"/>
        <n v="200.98400000000001"/>
        <n v="55.48"/>
        <n v="79.900000000000006"/>
        <n v="209.93"/>
        <n v="5.28"/>
        <n v="10.92"/>
        <n v="2.2000000000000002"/>
        <n v="622.45000000000005"/>
        <n v="21.98"/>
        <n v="5.5839999999999996"/>
        <n v="22.704000000000001"/>
        <n v="19.776"/>
        <n v="72.703999999999994"/>
        <n v="479.988"/>
        <n v="27.167999999999999"/>
        <n v="63.88"/>
        <n v="14.7"/>
        <n v="704.25"/>
        <n v="77.88"/>
        <n v="47.04"/>
        <n v="30.84"/>
        <n v="226.56"/>
        <n v="115.02"/>
        <n v="68.040000000000006"/>
        <n v="95.76"/>
        <n v="15.26"/>
        <n v="1029.95"/>
        <n v="4.6159999999999997"/>
        <n v="35.951999999999998"/>
        <n v="2396.2656000000002"/>
        <n v="131.136"/>
        <n v="57.584000000000003"/>
        <n v="20.100000000000001"/>
        <n v="73.584000000000003"/>
        <n v="6.48"/>
        <n v="23.56"/>
        <n v="1272.6300000000001"/>
        <n v="28.484999999999999"/>
        <n v="185.376"/>
        <n v="78.272000000000006"/>
        <n v="82.8"/>
        <n v="19.096"/>
        <n v="18.495999999999999"/>
        <n v="255.98400000000001"/>
        <n v="86.97"/>
        <n v="7.56"/>
        <n v="208.56"/>
        <n v="32.4"/>
        <n v="319.41000000000003"/>
        <n v="14.56"/>
        <n v="30"/>
        <n v="48.48"/>
        <n v="1.68"/>
        <n v="254.05799999999999"/>
        <n v="194.52799999999999"/>
        <n v="961.48"/>
        <n v="27.68"/>
        <n v="14.62"/>
        <n v="944.93"/>
        <n v="384.45"/>
        <n v="149.97"/>
        <n v="1951.84"/>
        <n v="171.55"/>
        <n v="12.22"/>
        <n v="194.94"/>
        <n v="70.95"/>
        <n v="91.36"/>
        <n v="242.94"/>
        <n v="22.05"/>
        <n v="1097.5440000000001"/>
        <n v="190.92"/>
        <n v="45.98"/>
        <n v="17.46"/>
        <n v="75.88"/>
        <n v="11.648"/>
        <n v="90.57"/>
        <n v="328.22399999999999"/>
        <n v="119.616"/>
        <n v="255.76"/>
        <n v="241.56800000000001"/>
        <n v="69.3"/>
        <n v="208.16"/>
        <n v="16.739999999999998"/>
        <n v="714.3"/>
        <n v="75.959999999999994"/>
        <n v="27.24"/>
        <n v="6.79"/>
        <n v="24.56"/>
        <n v="3.048"/>
        <n v="49.12"/>
        <n v="4355.1679999999997"/>
        <n v="23.92"/>
        <n v="36.24"/>
        <n v="93.06"/>
        <n v="302.37599999999998"/>
        <n v="50.96"/>
        <n v="49.536000000000001"/>
        <n v="19.46"/>
        <n v="60.34"/>
        <n v="388.70400000000001"/>
        <n v="8.26"/>
        <n v="17.04"/>
        <n v="34.4"/>
        <n v="1082.48"/>
        <n v="56.91"/>
        <n v="77.599999999999994"/>
        <n v="15.135999999999999"/>
        <n v="466.76799999999997"/>
        <n v="15.231999999999999"/>
        <n v="6.2640000000000002"/>
        <n v="20.04"/>
        <n v="35.44"/>
        <n v="11.52"/>
        <n v="4.0199999999999996"/>
        <n v="76.176000000000002"/>
        <n v="65.88"/>
        <n v="43.12"/>
        <n v="7.61"/>
        <n v="3347.37"/>
        <n v="80.58"/>
        <n v="361.92"/>
        <n v="1007.979"/>
        <n v="313.488"/>
        <n v="383.8"/>
        <n v="261.95999999999998"/>
        <n v="731.94"/>
        <n v="40.200000000000003"/>
        <n v="28.4"/>
        <n v="321.56799999999998"/>
        <n v="23.2"/>
        <n v="7.36"/>
        <n v="104.79"/>
        <n v="1043.92"/>
        <n v="37.223999999999997"/>
        <n v="20.015999999999998"/>
        <n v="419.68"/>
        <n v="11.688000000000001"/>
        <n v="31.984000000000002"/>
        <n v="177.22499999999999"/>
        <n v="4.0439999999999996"/>
        <n v="64.623999999999995"/>
        <n v="95.975999999999999"/>
        <n v="1.788"/>
        <n v="157.91999999999999"/>
        <n v="203.184"/>
        <n v="158.36799999999999"/>
        <n v="407.976"/>
        <n v="251.52"/>
        <n v="99.99"/>
        <n v="5.98"/>
        <n v="59.52"/>
        <n v="161.94"/>
        <n v="263.88"/>
        <n v="30.48"/>
        <n v="35.119999999999997"/>
        <n v="93.98"/>
        <n v="45"/>
        <n v="21.8"/>
        <n v="23.36"/>
        <n v="39.979999999999997"/>
        <n v="75.792000000000002"/>
        <n v="53.423999999999999"/>
        <n v="21.744"/>
        <n v="8.82"/>
        <n v="10.86"/>
        <n v="143.69999999999999"/>
        <n v="46.26"/>
        <n v="29.472000000000001"/>
        <n v="444.76799999999997"/>
        <n v="9.32"/>
        <n v="15.25"/>
        <n v="19.05"/>
        <n v="179.95"/>
        <n v="1199.9760000000001"/>
        <n v="27.15"/>
        <n v="1004.024"/>
        <n v="9.68"/>
        <n v="28.35"/>
        <n v="55.98"/>
        <n v="1336.829"/>
        <n v="113.568"/>
        <n v="35.909999999999997"/>
        <n v="74.111999999999995"/>
        <n v="27.992000000000001"/>
        <n v="3.3039999999999998"/>
        <n v="147.16800000000001"/>
        <n v="95.92"/>
        <n v="56.56"/>
        <n v="32.700000000000003"/>
        <n v="35.167999999999999"/>
        <n v="4.8899999999999997"/>
        <n v="31.872"/>
        <n v="18.175999999999998"/>
        <n v="59.712000000000003"/>
        <n v="24.84"/>
        <n v="83.92"/>
        <n v="131.97999999999999"/>
        <n v="15.92"/>
        <n v="52.29"/>
        <n v="91.99"/>
        <n v="14.016"/>
        <n v="95.616"/>
        <n v="301.95999999999998"/>
        <n v="29.6"/>
        <n v="514.16499999999996"/>
        <n v="279.95999999999998"/>
        <n v="139.86000000000001"/>
        <n v="307.13600000000002"/>
        <n v="20.7"/>
        <n v="488.64600000000002"/>
        <n v="5.56"/>
        <n v="47.12"/>
        <n v="41.96"/>
        <n v="284.36399999999998"/>
        <n v="665.40800000000002"/>
        <n v="287.92"/>
        <n v="6.6719999999999997"/>
        <n v="15.992000000000001"/>
        <n v="2.91"/>
        <n v="5.78"/>
        <n v="205.33279999999999"/>
        <n v="839.43"/>
        <n v="19.989999999999998"/>
        <n v="647.84"/>
        <n v="866.4"/>
        <n v="207.846"/>
        <n v="10.56"/>
        <n v="96.53"/>
        <n v="20.37"/>
        <n v="221.55"/>
        <n v="17.52"/>
        <n v="725.84"/>
        <n v="49.96"/>
        <n v="47.975999999999999"/>
        <n v="52.448"/>
        <n v="20.16"/>
        <n v="3059.982"/>
        <n v="2519.9580000000001"/>
        <n v="129.56800000000001"/>
        <n v="8.16"/>
        <n v="1023.936"/>
        <n v="9.24"/>
        <n v="479.04"/>
        <n v="617.70000000000005"/>
        <n v="12.462"/>
        <n v="246.38399999999999"/>
        <n v="1799.97"/>
        <n v="19.3"/>
        <n v="4.8120000000000003"/>
        <n v="247.8"/>
        <n v="600.55799999999999"/>
        <n v="18.648"/>
        <n v="254.744"/>
        <n v="396.80200000000002"/>
        <n v="15.88"/>
        <n v="957.57749999999999"/>
        <n v="22.367999999999999"/>
        <n v="68.81"/>
        <n v="2.544"/>
        <n v="88.8"/>
        <n v="831.93600000000004"/>
        <n v="97.04"/>
        <n v="72.784000000000006"/>
        <n v="157.79400000000001"/>
        <n v="161.56800000000001"/>
        <n v="389.69600000000003"/>
        <n v="3083.43"/>
        <n v="9.6180000000000003"/>
        <n v="124.2"/>
        <n v="3.2639999999999998"/>
        <n v="86.304000000000002"/>
        <n v="6.8579999999999997"/>
        <n v="15.76"/>
        <n v="238.89599999999999"/>
        <n v="102.36"/>
        <n v="36.881999999999998"/>
        <n v="12.132"/>
        <n v="82.367999999999995"/>
        <n v="53.92"/>
        <n v="647.904"/>
        <n v="2.08"/>
        <n v="1114.4000000000001"/>
        <n v="213.11500000000001"/>
        <n v="375.45749999999998"/>
        <n v="83.975999999999999"/>
        <n v="4.7880000000000003"/>
        <n v="189.88200000000001"/>
        <n v="189.58799999999999"/>
        <n v="291.95999999999998"/>
        <n v="4.7679999999999998"/>
        <n v="81.424000000000007"/>
        <n v="238.56"/>
        <n v="290.89800000000002"/>
        <n v="54.223999999999997"/>
        <n v="786.74400000000003"/>
        <n v="100.24"/>
        <n v="37.764000000000003"/>
        <n v="20.724"/>
        <n v="4.8959999999999999"/>
        <n v="747.55799999999999"/>
        <n v="8.9280000000000008"/>
        <n v="233.86"/>
        <n v="620.61450000000002"/>
        <n v="5.3280000000000003"/>
        <n v="258.072"/>
        <n v="617.976"/>
        <n v="2.3879999999999999"/>
        <n v="243.99199999999999"/>
        <n v="5.6820000000000004"/>
        <n v="66.284000000000006"/>
        <n v="1.248"/>
        <n v="9.7080000000000002"/>
        <n v="230.376"/>
        <n v="2.9460000000000002"/>
        <n v="16.056000000000001"/>
        <n v="1488.424"/>
        <n v="37.207999999999998"/>
        <n v="57.576000000000001"/>
        <n v="97.263999999999996"/>
        <n v="219.07499999999999"/>
        <n v="1.6240000000000001"/>
        <n v="71.372"/>
        <n v="59.97"/>
        <n v="78.304000000000002"/>
        <n v="21.45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1665.0522000000001" maxValue="1995.99"/>
    </cacheField>
  </cacheFields>
  <extLst>
    <ext xmlns:x14="http://schemas.microsoft.com/office/spreadsheetml/2009/9/main" uri="{725AE2AE-9491-48be-B2B4-4EB974FC3084}">
      <x14:pivotCacheDefinition pivotCacheId="214552369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ya Pravallika Bokka" refreshedDate="46087.54577488426" createdVersion="8" refreshedVersion="8" minRefreshableVersion="3" recordCount="500" xr:uid="{B4DDD93A-7C59-40AA-A3B2-E0757C3E7859}">
  <cacheSource type="worksheet">
    <worksheetSource ref="A1:K501" sheet="salesdataset"/>
  </cacheSource>
  <cacheFields count="11">
    <cacheField name="Order ID" numFmtId="0">
      <sharedItems/>
    </cacheField>
    <cacheField name="Order Date" numFmtId="14">
      <sharedItems containsSemiMixedTypes="0" containsNonDate="0" containsDate="1" containsString="0" minDate="2014-02-12T00:00:00" maxDate="2017-12-29T00:00:00"/>
    </cacheField>
    <cacheField name="Month" numFmtId="14">
      <sharedItems count="12">
        <s v="Sep"/>
        <s v="Mar"/>
        <s v="Nov"/>
        <s v="Dec"/>
        <s v="Oct"/>
        <s v="Jun"/>
        <s v="Aug"/>
        <s v="Apr"/>
        <s v="Jul"/>
        <s v="May"/>
        <s v="Feb"/>
        <s v="Jan"/>
      </sharedItems>
    </cacheField>
    <cacheField name="Region" numFmtId="0">
      <sharedItems/>
    </cacheField>
    <cacheField name="City" numFmtId="0">
      <sharedItems/>
    </cacheField>
    <cacheField name="Category" numFmtId="0">
      <sharedItems/>
    </cacheField>
    <cacheField name="Product Name" numFmtId="0">
      <sharedItems count="443">
        <s v="Epson WorkForce WF-2530 All-in-One Printer, Copier Scanner"/>
        <s v="Global Deluxe High-Back Manager's Chair"/>
        <s v="Stur-D-Stor Shelving, Vertical 5-Shelf: 72&quot;H x 36&quot;W x 18 1/2&quot;D"/>
        <s v="Hunt BOSTON Model 1606 High-Volume Electric Pencil Sharpener, Beige"/>
        <s v="netTALK DUO VoIP Telephone Service"/>
        <s v="Seth Thomas 14&quot; Putty-Colored Wall Clock"/>
        <s v="GBC Clear Cover, 8-1/2 x 11, unpunched, 25 covers per pack"/>
        <s v="Boston Heavy-Duty Trimline Electric Pencil Sharpeners"/>
        <s v="Howard Miller 13&quot; Diameter Goldtone Round Wall Clock"/>
        <s v="Global Deluxe Office Fabric Chairs"/>
        <s v="Eldon ClusterMat Chair Mat with Cordless Antistatic Protection"/>
        <s v="Ibico Laser Imprintable Binding System Covers"/>
        <s v="Vinyl Coated Wire Paper Clips in Organizer Box, 800/Box"/>
        <s v="Xerox 1974"/>
        <s v="Fellowes Officeware Wire Shelving"/>
        <s v="Colored Envelopes"/>
        <s v="OIC Colored Binder Clips, Assorted Sizes"/>
        <s v="Redi-Strip #10 Envelopes, 4 1/8 x 9 1/2"/>
        <s v="Xerox 1921"/>
        <s v="Tyvek  Top-Opening Peel &amp; Seel Envelopes, Plain White"/>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Crayola Colored Pencils"/>
        <s v="Adams Phone Message Book, Professional, 400 Message Capacity, 5 3/6Â” x 11Â”"/>
        <s v="Xerox 1913"/>
        <s v="Global Value Steno Chair, Gray"/>
        <s v="Deflect-o SuperTray Unbreakable Stackable Tray, Letter, Black"/>
        <s v="Newell 314"/>
        <s v="Fellowes PB200 Plastic Comb Binding Machine"/>
        <s v="Staples"/>
        <s v="Square Credit Card Reader, 4 1/2&quot; x 4 1/2&quot; x 1&quot;, White"/>
        <s v="SanDisk Ultra 32 GB MicroSDHC Class 10 Memory Card"/>
        <s v="Gould Plastics 9-Pocket Panel Bin, 18-3/8w x 5-1/4d x 20-1/2h, Black"/>
        <s v="Premium Writing Pencils, Soft, #2 by Central Association for the Blind"/>
        <s v="Logitech G602 Wireless Gaming Mouse"/>
        <s v="Tuff Stuff Recycled Round Ring Binders"/>
        <s v="Hon 5100 Series Wood Tables"/>
        <s v="Newell 350"/>
        <s v="Safco Steel Mobile File Cart"/>
        <s v="Adams Telephone Message Book w/Frequently-Called Numbers Space, 400 Messages per Book"/>
        <s v="Honeywell Enviracaire Portable HEPA Air Cleaner for 17' x 22' Room"/>
        <s v="Xerox 205"/>
        <s v="BoxOffice By Design Rectangular and Half-Moon Meeting Room Tables"/>
        <s v="Bravo II Megaboss 12-Amp Hard Body Upright, Replacement Belts, 2 Belts per Pack"/>
        <s v="Square Credit Card Reader"/>
        <s v="Logitech M510 Wireless Mouse"/>
        <s v="Boston 1645 Deluxe Heavier-Duty Electric Pencil Sharpener"/>
        <s v="ImationÂ USB 2.0 SwivelÂ Flash DriveÂ USBÂ flash driveÂ - 4 GB - Pink"/>
        <s v="Sortfiler Multipurpose Personal File Organizer, Black"/>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Binney &amp; Smith Crayola Metallic Colored Pencils, 8-Color Set"/>
        <s v="Binney &amp; Smith inkTank Erasable Desk Highlighter, Chisel Tip, Yellow, 12/Box"/>
        <s v="KeyTronicÂ 6101 Series -Â KeyboardÂ - Black"/>
        <s v="Newell 341"/>
        <s v="Cisco SPA 501G IP Phone"/>
        <s v="Wilson Jones Hanging View Binder, White, 1&quot;"/>
        <s v="SAFCO Boltless Steel Shelving"/>
        <s v="Sauder Mission Library with Doors, Fruitwood Finish"/>
        <s v="Samsung Galaxy Note 3"/>
        <s v="Decoflex Hanging Personal Folder File, Blue"/>
        <s v="Recycled Desk Saver Line &quot;While You Were Out&quot; Book, 5 1/2&quot; X 4&quot;"/>
        <s v="Xerox 1912"/>
        <s v="Apple iPhone 5S"/>
        <s v="Avery Hi-Liter EverBold Pen Style Fluorescent Highlighters, 4/Pack"/>
        <s v="OIC Binder Clips"/>
        <s v="AT&amp;T TR1909W"/>
        <s v="Nokia Lumia 521 (T-Mobile)"/>
        <s v="HP Standard 104 key PS/2 Keyboard"/>
        <s v="Boston School Pro Electric Pencil Sharpener, 1670"/>
        <s v="DMI Arturo Collection Mission-style Design Wood Chair"/>
        <s v="Canon imageCLASS MF7460 Monochrome Digital Laser Multifunction Copier"/>
        <s v="Panasonic Kx-TS550"/>
        <s v="NETGEAR N750 Dual Band Wi-Fi Gigabit Router"/>
        <s v="Trav-L-File Heavy-Duty Shuttle II, Black"/>
        <s v="Tenex File Box, Personal Filing Tote with Lid, Black"/>
        <s v="ImationÂ Secure+ Hardware Encrypted USB 2.0Â Flash Drive; 16GB"/>
        <s v="Fellowes Super Stor/Drawer"/>
        <s v="AT&amp;T 1070 Corded Phone"/>
        <s v="Xerox 21"/>
        <s v="Memorex Micro Travel Drive 8 GB"/>
        <s v="Atlantic Metals Mobile 4-Shelf Bookcases, Custom Colors"/>
        <s v="I Need's 3d Hello Kitty Hybrid Silicone Case Cover for HTC One X 4g with 3d Hello Kitty Stylus Pen Green/pink"/>
        <s v="Atlantic Metals Mobile 3-Shelf Bookcases, Custom Colors"/>
        <s v="4009 Highlighters by Sanford"/>
        <s v="Bretford CR4500 Series Slim Rectangular Table"/>
        <s v="3M Office Air Cleaner"/>
        <s v="Logitech G700s Rechargeable Gaming Mouse"/>
        <s v="Acco D-Ring Binder w/DublLock"/>
        <s v="Hon Racetrack Conference Tables"/>
        <s v="Safco Industrial Wire Shelving"/>
        <s v="C-Line Peel &amp; Stick Add-On Filing Pockets, 8-3/4 x 5-1/8, 10/Pack"/>
        <s v="Avery 485"/>
        <s v="Longer-Life Soft White Bulbs"/>
        <s v="Global Leather Task Chair, Black"/>
        <s v="#10-4 1/8&quot; x 9 1/2&quot; Premium Diagonal Seam Envelopes"/>
        <s v="Global Fabric Manager's Chair, Dark Gray"/>
        <s v="Plantronics HL10 Handset Lifter"/>
        <s v="Newell 311"/>
        <s v="Lenovo 17-Key USB Numeric Keypad"/>
        <s v="Acme 10&quot; Easy Grip Assistive Scissors"/>
        <s v="Lexmark MarkNet N8150 Wireless Print Server"/>
        <s v="3M Hangers With Command Adhesive"/>
        <s v="Southworth 25% Cotton Antique Laid Paper &amp; Envelopes"/>
        <s v="Xerox 1883"/>
        <s v="Tenex Personal Project File with Scoop Front Design, Black"/>
        <s v="Sony 32GB Class 10 Micro SDHC R40 Memory Card"/>
        <s v="OIC Binder Clips, Mini, 1/4&quot; Capacity, Black"/>
        <s v="LogitechÂ Gaming G510s - Keyboard"/>
        <s v="Holmes Odor Grabber"/>
        <s v="Akro-Mils 12-Gallon Tote"/>
        <s v="GBC Twin Loop Wire Binding Elements, 9/16&quot; Spine, Black"/>
        <s v="Easy-staple paper"/>
        <s v="Microsoft Arc Touch Mouse"/>
        <s v="Xerox 216"/>
        <s v="Bevis Round Bullnose 29&quot; High Table Top"/>
        <s v="Poly String Tie Envelopes"/>
        <s v="Strathmore #10 Envelopes, Ultimate White"/>
        <s v="Verbatim 25 GB 6x Blu-ray Single Layer Recordable Disc, 3/Pack"/>
        <s v="Acco PRESSTEX Data Binder with Storage Hooks, Dark Blue, 14 7/8&quot; X 11&quot;"/>
        <s v="Xerox 1943"/>
        <s v="Luxo Economy Swing Arm Lamp"/>
        <s v="Sanford Colorific Eraseable Coloring Pencils, 12 Count"/>
        <s v="Storex Dura Pro Binders"/>
        <s v="Hewlett Packard LaserJet 3310 Copier"/>
        <s v="Avery Non-Stick Binders"/>
        <s v="Electrix 20W Halogen Replacement Bulb for Zoom-In Desk Lamp"/>
        <s v="Avery 505"/>
        <s v="O'Sullivan 2-Door Barrister Bookcase in Odessa Pine"/>
        <s v="Speck Products Candyshell Flip Case"/>
        <s v="Cisco 9971 IP Video Phone Charcoal"/>
        <s v="Sony Micro Vault Click 16 GB USB 2.0 Flash Drive"/>
        <s v="Xerox 1999"/>
        <s v="Seth Thomas 13 1/2&quot; Wall Clock"/>
        <s v="Ibico Standard Transparent Covers"/>
        <s v="Jet-Pak Recycled Peel 'N' Seal Padded Mailers"/>
        <s v="Eaton Premium Continuous-Feed Paper, 25% Cotton, Letter Size, White, 1000 Shts/Box"/>
        <s v="Microsoft Sculpt Comfort Mouse"/>
        <s v="Logitech 910-002974 M325 Wireless Mouse for Web Scrolling"/>
        <s v="Regeneration Desk Collection"/>
        <s v="Presstex Flexible Ring Binders"/>
        <s v="Sanford Uni-Blazer View Highlighters, Chisel Tip, Yellow"/>
        <s v="Bevis 36 x 72 Conference Tables"/>
        <s v="Rogers Deluxe File Chest"/>
        <s v="OIC Bulk Pack Metal Binder Clips"/>
        <s v="While You Were Out Pads, 50 per Pad, 4 x 5 1/4, Green Cycle"/>
        <s v="Executive Impressions 14&quot; Two-Color Numerals Wall Clock"/>
        <s v="Swingline SM12-08 MicroCut Jam Free Shredder"/>
        <s v="Stanley Bostitch Contemporary Electric Pencil Sharpeners"/>
        <s v="Memorex Mini Travel Drive 16 GB USB 2.0 Flash Drive"/>
        <s v="Prang Colored Pencils"/>
        <s v="Fellowes Strictly Business Drawer File, Letter/Legal Size"/>
        <s v="Eldon Base for stackable storage shelf, platinum"/>
        <s v="Artistic Insta-Plaque"/>
        <s v="Companion Letter/Legal File, Black"/>
        <s v="Globe Weis Peel &amp; Seel First Class Envelopes"/>
        <s v="KLD Oscar II Style Snap-on Ultra Thin Side Flip Synthetic Leather Cover Case for HTC One HTC M7"/>
        <s v="Cisco SPA525G2 IP Phone - Wireless"/>
        <s v="Avery Poly Binder Pockets"/>
        <s v="Advantus Push Pins"/>
        <s v="AT&amp;T CL83451 4-Handset Telephone"/>
        <s v="Avery Binding System Hidden Tab Executive Style Index Sets"/>
        <s v="Super Decoflex Portable Personal File"/>
        <s v="Riverside Palais Royal Lawyers Bookcase, Royale Cherry Finish"/>
        <s v="Contico 72&quot;H Heavy-Duty Storage System"/>
        <s v="Sony 64GB Class 10 Micro SDHC R40 Memory Card"/>
        <s v="Turquoise Lead Holder with Pocket Clip"/>
        <s v="Xerox 1995"/>
        <s v="Eldon Wave Desk Accessories"/>
        <s v="Bush Advantage Collection Racetrack Conference Table"/>
        <s v="Poly Designer Cover &amp; Back"/>
        <s v="Premier Electric Letter Opener"/>
        <s v="Fellowes Premier Superior Surge Suppressor, 10-Outlet, With Phone and Remote"/>
        <s v="Howard Miller 13-3/4&quot; Diameter Brushed Chrome Round Wall Clock"/>
        <s v="Advantus SlideClip Paper Clips"/>
        <s v="Avery 512"/>
        <s v="Logitech Wireless Gaming Headset G930"/>
        <s v="Bush Westfield Collection Bookcases, Medium Cherry Finish"/>
        <s v="Bagged Rubber Bands"/>
        <s v="Home/Office Personal File Carts"/>
        <s v="Xerox 232"/>
        <s v="Novimex Turbo Task Chair"/>
        <s v="Array Parchment Paper, Assorted Colors"/>
        <s v="ImationÂ 8gb Micro Traveldrive Usb 2.0Â Flash Drive"/>
        <s v="Plastic Binding Combs"/>
        <s v="Prang Dustless Chalk Sticks"/>
        <s v="GBC VeloBinder Electric Binding Machine"/>
        <s v="Acco 7-Outlet Masterpiece Power Center, Wihtout Fax/Phone Line Protection"/>
        <s v="Premier Automatic Letter Opener"/>
        <s v="Wilson Jones International Size A4 Ring Binders"/>
        <s v="Avery 519"/>
        <s v="Avaya 5420 Digital phone"/>
        <s v="Plantronics CordlessÂ Phone HeadsetÂ with In-line Volume - M214C"/>
        <s v="Anker Astro 15000mAh USB Portable Charger"/>
        <s v="Hon Deluxe Fabric Upholstered Stacking Chairs, Rounded Back"/>
        <s v="GBC Prestige Therm-A-Bind Covers"/>
        <s v="Aluminum Document Frame"/>
        <s v="Fellowes Bankers Box Staxonsteel Drawer File/Stacking System"/>
        <s v="Eldon Mobile Mega Data Cart  Mega Stackable  Add-On Trays"/>
        <s v="Xerox Color Copier Paper, 11&quot; x 17&quot;, Ream"/>
        <s v="Office Star - Ergonomically Designed Knee Chair"/>
        <s v="Avery 520"/>
        <s v="GE 30524EE4"/>
        <s v="Electrix Architect's Clamp-On Swing Arm Lamp, Black"/>
        <s v="Verbatim 25 GB 6x Blu-ray Single Layer Recordable Disc, 25/Pack"/>
        <s v="Wilson Jones Leather-Like Binders with DublLock Round Rings"/>
        <s v="Snap-A-Way Black Print Carbonless Ruled Speed Letter, Triplicate"/>
        <s v="Wilson Jones Active Use Binders"/>
        <s v="ImationÂ 8GB Mini TravelDrive USB 2.0Â Flash Drive"/>
        <s v="Cisco Small Business SPA 502G VoIP phone"/>
        <s v="Clear Mylar Reinforcing Strips"/>
        <s v="Howard Miller 14-1/2&quot; Diameter Chrome Round Wall Clock"/>
        <s v="Deflect-O Glasstique Clear Desk Accessories"/>
        <s v="1.7 Cubic Foot Compact &quot;Cube&quot; Office Refrigerators"/>
        <s v="Avery Heavy-Duty EZD  Binder With Locking Rings"/>
        <s v="Letter Size Cart"/>
        <s v="Hunt PowerHouse Electric Pencil Sharpener, Blue"/>
        <s v="Avery Durable Plastic 1&quot; Binders"/>
        <s v="Sabrent 4-Port USB 2.0 Hub"/>
        <s v="Xerox 1881"/>
        <s v="Acco Hanging Data Binders"/>
        <s v="GBC DocuBind P400 Electric Binding System"/>
        <s v="Universal Premium White Copier/Laser Paper (20Lb. and 87 Bright)"/>
        <s v="Southworth 25% Cotton Linen-Finish Paper &amp; Envelopes"/>
        <s v="Personal Filing Tote with Lid, Black/Gray"/>
        <s v="Adtran 1202752G1"/>
        <s v="Southworth Structures Collection"/>
        <s v="Square Ring Data Binders, Rigid 75 Pt. Covers, 11&quot; x 14-7/8&quot;"/>
        <s v="Newell 318"/>
        <s v="Acco Six-Outlet Power Strip, 4' Cord Length"/>
        <s v="Sauder Barrister Bookcases"/>
        <s v="#10 Gummed Flap White Envelopes, 100/Box"/>
        <s v="Dixon Prang Watercolor Pencils, 10-Color Set with Brush"/>
        <s v="Adams Phone Message Book, 200 Message Capacity, 8 1/16Â” x 11Â”"/>
        <s v="Self-Adhesive Address Labels for Typewriters by Universal"/>
        <s v="Xerox 223"/>
        <s v="Tennsco Stur-D-Stor Boltless Shelving, 5 Shelves, 24&quot; Deep, Sand"/>
        <s v="Xerox 1939"/>
        <s v="Floodlight Indoor Halogen Bulbs, 1 Bulb per Pack, 60 Watts"/>
        <s v="Avery Premier Heavy-Duty Binder with Round Locking Rings"/>
        <s v="C-Line Cubicle Keepers Polyproplyene Holder With Velcro Backings"/>
        <s v="Hon 4070 Series Pagoda Armless Upholstered Stacking Chairs"/>
        <s v="Eldon Expressions Desk Accessory, Wood Photo Frame, Mahogany"/>
        <s v="Avery 509"/>
        <s v="Xerox 195"/>
        <s v="Xerox 1880"/>
        <s v="Sanford Colorific Colored Pencils, 12/Box"/>
        <s v="Ideal Clamps"/>
        <s v="GBC Wire Binding Strips"/>
        <s v="Fiskars Softgrip Scissors"/>
        <s v="Wirebound Message Books, Two 4 1/4&quot; x 5&quot; Forms per Page"/>
        <s v="LogitechÂ P710e Mobile Speakerphone"/>
        <s v="Fellowes Personal Hanging Folder Files, Navy"/>
        <s v="Tyvek Side-Opening Peel &amp; Seel Expanding Envelopes"/>
        <s v="Canon Color ImageCLASS MF8580Cdw Wireless Laser All-In-One Printer, Copier, Scanner"/>
        <s v="Xerox 1908"/>
        <s v="Bevis Steel Folding Chairs"/>
        <s v="Fellowes Basic Home/Office Series Surge Protectors"/>
        <s v="Bush Somerset Collection Bookcase"/>
        <s v="Staple envelope"/>
        <s v="Global Leather Highback Executive Chair with Pneumatic Height Adjustment, Black"/>
        <s v="Wilson Jones Â“SnapÂ” Scratch Pad Binder Tool for Ring Binders"/>
        <s v="Staple remover"/>
        <s v="Pizazz Global Quick File"/>
        <s v="Xerox 1957"/>
        <s v="Luxo Professional Fluorescent Magnifier Lamp with Clamp-Mount Base"/>
        <s v="Staple-based wall hangings"/>
        <s v="PureGear Roll-On Screen Protector"/>
        <s v="KI Conference Tables"/>
        <s v="Eldon 100 Class Desk Accessories"/>
        <s v="Avery Personal Creations Heavyweight Cards"/>
        <s v="SanDisk Ultra 64 GB MicroSDHC Class 10 Memory Card"/>
        <s v="Avery Hidden Tab Dividers for Binding Systems"/>
        <s v="Belkin 7 Outlet SurgeMaster Surge Protector with Phone Protection"/>
        <s v="Jabra BIZ 2300 Duo QD Duo CordedÂ Headset"/>
        <s v="Eldon Portable Mobile Manager"/>
        <s v="Logitech Wireless Headset h800"/>
        <s v="Xerox 1920"/>
        <s v="Newell 345"/>
        <s v="Fellowes Bankers Box Recycled Super Stor/Drawer"/>
        <s v="50 Colored Long Pencils"/>
        <s v="Newell 342"/>
        <s v="Belkin Grip Candy Sheer Case / Cover for iPhone 5 and 5S"/>
        <s v="Sony Micro Vault Click 8 GB USB 2.0 Flash Drive"/>
        <s v="LF Elite 3D Dazzle Designer Hard Case Cover, Lf Stylus Pen and Wiper For Apple Iphone 5c Mini Lite"/>
        <s v="Angle-D Binders with Locking Rings, Label Holders"/>
        <s v="LogitechÂ LS21 Speaker System - PC Multimedia - 2.1-CH - Wired"/>
        <s v="Tuf-Vin Binders"/>
        <s v="Xerox 1930"/>
        <s v="File Shuttle I and Handi-File"/>
        <s v="Newell 343"/>
        <s v="Convenience Packs of Business Envelopes"/>
        <s v="Xerox 1911"/>
        <s v="Decoflex Hanging Personal Folder File"/>
        <s v="Nortel Business Series Terminal T7208 Digital phone"/>
        <s v="American Pencil"/>
        <s v="White Envelopes, White Envelopes with Clear Poly Window"/>
        <s v="Xerox 1967"/>
        <s v="Telephone Message Books with Fax/Mobile Section, 5 1/2&quot; x 3 3/16&quot;"/>
        <s v="Sharp AL-1530CS Digital Copier"/>
        <s v="Wirebound Message Book, 4 per Page"/>
        <s v="Bevis Round Conference Table Top, X-Base"/>
        <s v="Wirebound Service Call Books, 5 1/2&quot; x 4&quot;"/>
        <s v="Self-Adhesive Removable Labels"/>
        <s v="O'Sullivan 4-Shelf Bookcase in Odessa Pine"/>
        <s v="Novimex High-Tech Fabric Mesh Task Chair"/>
        <s v="Staple holder"/>
        <s v="Ampad Gold Fibre Wirebound Steno Books, 6&quot; x 9&quot;, Gregg Ruled"/>
        <s v="Newell 330"/>
        <s v="Memorex Mini Travel Drive 8 GB USB 2.0 Flash Drive"/>
        <s v="Newell Chalk Holder"/>
        <s v="Bulldog Vacuum Base Pencil Sharpener"/>
        <s v="Westinghouse Mesh Shade Clip-On Gooseneck Lamp, Black"/>
        <s v="Crate-A-Files"/>
        <s v="Eldon 200 Class Desk Accessories, Burgundy"/>
        <s v="Faber Castell Col-Erase Pencils"/>
        <s v="Xerox 1897"/>
        <s v="Post-it Â“Important MessageÂ” Note Pad, Neon Colors, 50 Sheets/Pad"/>
        <s v="Adams Write n' Stick Phone Message Book, 11&quot; X 5 1/4&quot;, 200 Messages"/>
        <s v="Eldon Simplefile Box Office"/>
        <s v="Avery 489"/>
        <s v="BIC Brite Liner Highlighters, Chisel Tip"/>
        <s v="Tennsco Lockers, Gray"/>
        <s v="Panasonic KX-TG6844B Expandable Digital Cordless Telephone"/>
        <s v="Avery Durable Slant Ring Binders, No Labels"/>
        <s v="Advantus Push Pins, Aluminum Head"/>
        <s v="Gould Plastics 18-Pocket Panel Bin, 34w x 5-1/4d x 20-1/2h"/>
        <s v="Quartet Omega Colored Chalk, 12/Pack"/>
        <s v="Advantus 10-Drawer Portable Organizer, Chrome Metal Frame, Smoke Drawers"/>
        <s v="Novimex Swivel Fabric Task Chair"/>
        <s v="Alphabetical Labels for Top Tab Filing"/>
        <s v="O'Sullivan Living Dimensions 2-Shelf Bookcases"/>
        <s v="iHome FM Clock Radio with Lightning Dock"/>
        <s v="Xerox 191"/>
        <s v="Avery Address/Shipping Labels for Typewriters, 4&quot; x 2&quot;"/>
        <s v="Global Ergonomic Managers Chair"/>
        <s v="Newell 333"/>
        <s v="Magnifier Swing Arm Lamp"/>
        <s v="Deluxe Rollaway Locking File with Drawer"/>
        <s v="Coloredge Poster Frame"/>
        <s v="GBC VeloBinder Manual Binding System"/>
        <s v="Design Ebony Sketching Pencil"/>
        <s v="Telescoping Adjustable Floor Lamp"/>
        <s v="GE General Purpose, Extra Long Life, Showcase &amp; Floodlight Incandescent Bulbs"/>
        <s v="Xerox 1987"/>
        <s v="Bush Mission Pointe Library"/>
        <s v="Sanyo 2.5 Cubic Foot Mid-Size Office Refrigerators"/>
        <s v="Avery 511"/>
        <s v="Belkin 8 Outlet SurgeMaster II Gold Surge Protector with Phone Protection"/>
        <s v="Hon Multipurpose Stacking Arm Chairs"/>
        <s v="Global Deluxe Steno Chair"/>
        <s v="Trimflex Flexible Post Binders"/>
        <s v="Xerox 4200 Series MultiUse Premium Copy Paper (20Lb. and 84 Bright)"/>
        <s v="9-3/4 Diameter Round Wall Clock"/>
        <s v="Safco Industrial Shelving"/>
        <s v="Acco 3-Hole Punch"/>
        <s v="Adjustable Depth Letter/Legal Cart"/>
        <s v="2300 Heavy-Duty Transfer File Systems by Perma"/>
        <s v="Xerox 1958"/>
        <s v="Anker 36W 4-Port USB Wall Charger Travel Power Adapter for iPhone 5s 5c 5"/>
        <s v="Kensington 7 Outlet MasterPiece HOMEOFFICE Power Control Center"/>
        <s v="Avery 51"/>
        <s v="Xerox WorkCentre 6505DN Laser Multifunction Printer"/>
        <s v="Global Geo Office Task Chair, Gray"/>
        <s v="Wilson Jones Custom Binder Spines &amp; Labels"/>
        <s v="NETGEAR AC1750 Dual Band GigabitÂ Smart WiFi Router"/>
        <s v="Newell 324"/>
        <s v="Microsoft Natural Keyboard Elite"/>
        <s v="Bevis 44 x 96 Conference Tables"/>
        <s v="Wilson Jones Century Plastic Molded Ring Binders"/>
        <s v="Nortel Meridian M3904 Professional Digital phone"/>
        <s v="Canon PC1080F Personal Copier"/>
        <s v="Eldon Expressions Desk Accessory, Wood Pencil Holder, Oak"/>
        <s v="Insertable Tab Post Binder Dividers"/>
        <s v="Belkin QODE FastFit Bluetooth Keyboard"/>
        <s v="GBC Instant Index System for Binding Systems"/>
        <s v="Padded Folding Chairs, Black, 4/Carton"/>
        <s v="Acme Rosewood Handle Letter Opener"/>
        <s v="Eldon Fold 'N Roll Cart System"/>
        <s v="Holmes Replacement Filter for HEPA Air Cleaner, Very Large Room, HEPA Filter"/>
        <s v="Storex DuraTech Recycled Plastic Frosted Binders"/>
        <s v="High-Back Leather Manager's Chair"/>
        <s v="Tenex Traditional Chairmats for Medium Pile Carpet, Standard Lip, 36&quot; x 48&quot;"/>
        <s v="Safco Industrial Wire Shelving System"/>
        <s v="GBC DocuBind 300 Electric Binding Machine"/>
        <s v="Global Low Back Tilter Chair"/>
        <s v="Global Push Button Manager's Chair, Indigo"/>
        <s v="Avery Recycled Flexi-View Covers for Binding Systems"/>
        <s v="BOSTON Model 1800 Electric Pencil Sharpeners, Putty/Woodgrain"/>
        <s v="Acco Pressboard Covers with Storage Hooks, 14 7/8&quot; x 11&quot;, Executive Red"/>
        <s v="Lumber Crayons"/>
        <s v="Logitech K350 2.4Ghz Wireless Keyboard"/>
        <s v="Deflect-o DuraMat Lighweight, Studded, Beveled Mat for Low Pile Carpeting"/>
        <s v="Avery Trapezoid Ring Binder, 3&quot; Capacity, Black, 1040 sheets"/>
        <s v="Belkin 19&quot; Vented Equipment Shelf, Black"/>
        <s v="Logitech Mobile Speakerphone P710e -Â speaker phone"/>
        <s v="Round Ring Binders"/>
        <s v="Bose SoundLink Bluetooth Speaker"/>
        <s v="Global Value Mid-Back Manager's Chair, Gray"/>
        <s v="Hon Practical Foundations 30 x 60 Training Table, Light Gray/Charcoal"/>
        <s v="Logitech Media Keyboard K200"/>
        <s v="Cardinal Hold-It CD Pocket"/>
        <s v="Balt Solid Wood Rectangular Table"/>
        <s v="GBC ProClick 150 Presentation Binding System"/>
        <s v="Woodgrain Magazine Files by Perma"/>
        <s v="Global Task Chair, Black"/>
        <s v="Eldon Cleatmat Plus Chair Mats for High Pile Carpets"/>
        <s v="Xerox 1960"/>
        <s v="Aastra 57i VoIP phone"/>
        <s v="File Shuttle II and Handi-File, Black"/>
        <s v="Hon 2090 Â“Pillow SoftÂ” Series Mid Back Swivel/Tilt Chairs"/>
        <s v="Round Specialty Laser Printer Labels"/>
        <s v="GBC Premium Transparent Covers with Diagonal Lined Pattern"/>
        <s v="AT&amp;T 841000 Phone"/>
        <s v="Ibico Recycled Grain-Textured Covers"/>
        <s v="Hon 4700 Series Mobuis Mid-Back Task Chairs with Adjustable Arms"/>
        <s v="Bush Advantage Collection Round Conference Table"/>
        <s v="Bretford Rectangular Conference Table Tops"/>
        <s v="Tenex Contemporary Contur Chairmats for Low and Medium Pile Carpet, Computer, 39&quot; x 49&quot;"/>
        <s v="Flexible Leather- Look Classic Collection Ring Binder"/>
        <s v="Eureka Sanitaire  Commercial Upright"/>
        <s v="Economy Binders"/>
        <s v="6&quot; Cubicle Wall Clock, Black"/>
        <s v="SimpliFile Personal File, Black Granite, 15w x 6-15/16d x 11-1/4h"/>
        <s v="Pressboard Covers with Storage Hooks, 9 1/2&quot; x 11&quot;, Light Blue"/>
        <s v="Wirebound Message Books, 5-1/2 x 4 Forms, 2 or 4 Forms per Page"/>
        <s v="Office Impressions End Table, 20-1/2&quot;H x 24&quot;W x 20&quot;D"/>
        <s v="Safco Commercial Shelving"/>
        <s v="Recycled Interoffice Envelopes with String and Button Closure, 10 x 13"/>
        <s v="BPI Conference Tables"/>
        <s v="Eureka Disposable Bags for Sanitaire Vibra Groomer I Upright Vac"/>
        <s v="Global Deluxe Stacking Chair, Gray"/>
        <s v="Xerox 1916"/>
      </sharedItems>
    </cacheField>
    <cacheField name="Sales" numFmtId="0">
      <sharedItems containsSemiMixedTypes="0" containsString="0" containsNumber="1" minValue="1.248" maxValue="8159.9520000000002" count="474">
        <n v="69.989999999999995"/>
        <n v="457.56799999999998"/>
        <n v="665.88"/>
        <n v="1113.0239999999999"/>
        <n v="167.96799999999999"/>
        <n v="93.888000000000005"/>
        <n v="45.48"/>
        <n v="289.2"/>
        <n v="300.416"/>
        <n v="230.352"/>
        <n v="218.352"/>
        <n v="78.599999999999994"/>
        <n v="27.552"/>
        <n v="9.5679999999999996"/>
        <n v="449.15"/>
        <n v="11.07"/>
        <n v="40.095999999999997"/>
        <n v="4.72"/>
        <n v="23.975999999999999"/>
        <n v="130.464"/>
        <n v="48.86"/>
        <n v="7.28"/>
        <n v="907.15200000000004"/>
        <n v="18.504000000000001"/>
        <n v="114.9"/>
        <n v="1706.184"/>
        <n v="911.42399999999998"/>
        <n v="2.6240000000000001"/>
        <n v="20.94"/>
        <n v="110.96"/>
        <n v="340.14400000000001"/>
        <n v="87.54"/>
        <n v="17.856000000000002"/>
        <n v="509.97"/>
        <n v="30.992000000000001"/>
        <n v="71.927999999999997"/>
        <n v="176.8"/>
        <n v="211.96"/>
        <n v="5.96"/>
        <n v="159.97999999999999"/>
        <n v="7.7119999999999997"/>
        <n v="698.35199999999998"/>
        <n v="9.84"/>
        <n v="2001.86"/>
        <n v="166.72"/>
        <n v="47.88"/>
        <n v="1503.25"/>
        <n v="25.92"/>
        <n v="218.75"/>
        <n v="2.6"/>
        <n v="7.992"/>
        <n v="63.984000000000002"/>
        <n v="70.367999999999995"/>
        <n v="9.09"/>
        <n v="14.9"/>
        <n v="21.39"/>
        <n v="9.9359999999999999"/>
        <n v="8159.9520000000002"/>
        <n v="275.928"/>
        <n v="1740.06"/>
        <n v="32.064"/>
        <n v="177.98"/>
        <n v="143.976"/>
        <n v="7.4080000000000004"/>
        <n v="6.048"/>
        <n v="196.75200000000001"/>
        <n v="8.56"/>
        <n v="213.48"/>
        <n v="22.72"/>
        <n v="340.92"/>
        <n v="222.666"/>
        <n v="703.96799999999996"/>
        <n v="92.52"/>
        <n v="62.65"/>
        <n v="94.85"/>
        <n v="2735.9520000000002"/>
        <n v="39.072000000000003"/>
        <n v="7.16"/>
        <n v="503.96"/>
        <n v="149.94999999999999"/>
        <n v="29"/>
        <n v="99.135999999999996"/>
        <n v="135.88200000000001"/>
        <n v="3991.98"/>
        <n v="275.94"/>
        <n v="360"/>
        <n v="43.57"/>
        <n v="24.815999999999999"/>
        <n v="408.74400000000003"/>
        <n v="55.5"/>
        <n v="178.38399999999999"/>
        <n v="15.552"/>
        <n v="20.8"/>
        <n v="899.13599999999997"/>
        <n v="71.760000000000005"/>
        <n v="51.84"/>
        <n v="626.35199999999998"/>
        <n v="19.899999999999999"/>
        <n v="1044.6300000000001"/>
        <n v="103.92"/>
        <n v="899.91"/>
        <n v="51.311999999999998"/>
        <n v="787.53"/>
        <n v="671.93"/>
        <n v="38.22"/>
        <n v="75.180000000000007"/>
        <n v="6.16"/>
        <n v="89.99"/>
        <n v="113.328"/>
        <n v="532.39919999999995"/>
        <n v="212.05799999999999"/>
        <n v="371.16800000000001"/>
        <n v="6.63"/>
        <n v="54.384"/>
        <n v="70.12"/>
        <n v="482.34"/>
        <n v="2.96"/>
        <n v="58.38"/>
        <n v="105.52"/>
        <n v="80.88"/>
        <n v="41.9"/>
        <n v="4.96"/>
        <n v="339.96"/>
        <n v="8.6519999999999992"/>
        <n v="23.832000000000001"/>
        <n v="12.176"/>
        <n v="141.76"/>
        <n v="239.8"/>
        <n v="31.103999999999999"/>
        <n v="1038.8399999999999"/>
        <n v="14.28"/>
        <n v="105.42"/>
        <n v="13.98"/>
        <n v="25.824000000000002"/>
        <n v="146.72999999999999"/>
        <n v="79.760000000000005"/>
        <n v="3.28"/>
        <n v="4.7519999999999998"/>
        <n v="959.98400000000004"/>
        <n v="14.368"/>
        <n v="26.8"/>
        <n v="23.68"/>
        <n v="452.45"/>
        <n v="62.981999999999999"/>
        <n v="1188"/>
        <n v="89.584000000000003"/>
        <n v="12.96"/>
        <n v="53.34"/>
        <n v="32.96"/>
        <n v="200.98400000000001"/>
        <n v="55.48"/>
        <n v="79.900000000000006"/>
        <n v="209.93"/>
        <n v="5.28"/>
        <n v="10.92"/>
        <n v="2.2000000000000002"/>
        <n v="622.45000000000005"/>
        <n v="21.98"/>
        <n v="5.5839999999999996"/>
        <n v="22.704000000000001"/>
        <n v="19.776"/>
        <n v="72.703999999999994"/>
        <n v="479.988"/>
        <n v="27.167999999999999"/>
        <n v="63.88"/>
        <n v="14.7"/>
        <n v="704.25"/>
        <n v="77.88"/>
        <n v="47.04"/>
        <n v="30.84"/>
        <n v="226.56"/>
        <n v="115.02"/>
        <n v="68.040000000000006"/>
        <n v="95.76"/>
        <n v="15.26"/>
        <n v="1029.95"/>
        <n v="4.6159999999999997"/>
        <n v="35.951999999999998"/>
        <n v="2396.2656000000002"/>
        <n v="131.136"/>
        <n v="57.584000000000003"/>
        <n v="20.100000000000001"/>
        <n v="73.584000000000003"/>
        <n v="6.48"/>
        <n v="23.56"/>
        <n v="1272.6300000000001"/>
        <n v="28.484999999999999"/>
        <n v="185.376"/>
        <n v="78.272000000000006"/>
        <n v="82.8"/>
        <n v="19.096"/>
        <n v="18.495999999999999"/>
        <n v="255.98400000000001"/>
        <n v="86.97"/>
        <n v="7.56"/>
        <n v="208.56"/>
        <n v="32.4"/>
        <n v="319.41000000000003"/>
        <n v="14.56"/>
        <n v="30"/>
        <n v="48.48"/>
        <n v="1.68"/>
        <n v="254.05799999999999"/>
        <n v="194.52799999999999"/>
        <n v="961.48"/>
        <n v="27.68"/>
        <n v="14.62"/>
        <n v="944.93"/>
        <n v="384.45"/>
        <n v="149.97"/>
        <n v="1951.84"/>
        <n v="171.55"/>
        <n v="12.22"/>
        <n v="194.94"/>
        <n v="70.95"/>
        <n v="91.36"/>
        <n v="242.94"/>
        <n v="22.05"/>
        <n v="1097.5440000000001"/>
        <n v="190.92"/>
        <n v="45.98"/>
        <n v="17.46"/>
        <n v="75.88"/>
        <n v="11.648"/>
        <n v="90.57"/>
        <n v="328.22399999999999"/>
        <n v="119.616"/>
        <n v="255.76"/>
        <n v="241.56800000000001"/>
        <n v="69.3"/>
        <n v="208.16"/>
        <n v="16.739999999999998"/>
        <n v="714.3"/>
        <n v="75.959999999999994"/>
        <n v="27.24"/>
        <n v="6.79"/>
        <n v="24.56"/>
        <n v="3.048"/>
        <n v="49.12"/>
        <n v="4355.1679999999997"/>
        <n v="23.92"/>
        <n v="36.24"/>
        <n v="93.06"/>
        <n v="302.37599999999998"/>
        <n v="50.96"/>
        <n v="49.536000000000001"/>
        <n v="19.46"/>
        <n v="60.34"/>
        <n v="388.70400000000001"/>
        <n v="8.26"/>
        <n v="17.04"/>
        <n v="34.4"/>
        <n v="1082.48"/>
        <n v="56.91"/>
        <n v="77.599999999999994"/>
        <n v="15.135999999999999"/>
        <n v="466.76799999999997"/>
        <n v="15.231999999999999"/>
        <n v="6.2640000000000002"/>
        <n v="20.04"/>
        <n v="35.44"/>
        <n v="11.52"/>
        <n v="4.0199999999999996"/>
        <n v="76.176000000000002"/>
        <n v="65.88"/>
        <n v="43.12"/>
        <n v="7.61"/>
        <n v="3347.37"/>
        <n v="80.58"/>
        <n v="361.92"/>
        <n v="1007.979"/>
        <n v="313.488"/>
        <n v="383.8"/>
        <n v="261.95999999999998"/>
        <n v="731.94"/>
        <n v="40.200000000000003"/>
        <n v="28.4"/>
        <n v="321.56799999999998"/>
        <n v="23.2"/>
        <n v="7.36"/>
        <n v="104.79"/>
        <n v="1043.92"/>
        <n v="37.223999999999997"/>
        <n v="20.015999999999998"/>
        <n v="419.68"/>
        <n v="11.688000000000001"/>
        <n v="31.984000000000002"/>
        <n v="177.22499999999999"/>
        <n v="4.0439999999999996"/>
        <n v="64.623999999999995"/>
        <n v="95.975999999999999"/>
        <n v="1.788"/>
        <n v="157.91999999999999"/>
        <n v="203.184"/>
        <n v="158.36799999999999"/>
        <n v="407.976"/>
        <n v="251.52"/>
        <n v="99.99"/>
        <n v="5.98"/>
        <n v="59.52"/>
        <n v="161.94"/>
        <n v="263.88"/>
        <n v="30.48"/>
        <n v="35.119999999999997"/>
        <n v="93.98"/>
        <n v="45"/>
        <n v="21.8"/>
        <n v="23.36"/>
        <n v="39.979999999999997"/>
        <n v="75.792000000000002"/>
        <n v="53.423999999999999"/>
        <n v="21.744"/>
        <n v="8.82"/>
        <n v="10.86"/>
        <n v="143.69999999999999"/>
        <n v="46.26"/>
        <n v="29.472000000000001"/>
        <n v="444.76799999999997"/>
        <n v="9.32"/>
        <n v="15.25"/>
        <n v="19.05"/>
        <n v="179.95"/>
        <n v="1199.9760000000001"/>
        <n v="27.15"/>
        <n v="1004.024"/>
        <n v="9.68"/>
        <n v="28.35"/>
        <n v="55.98"/>
        <n v="1336.829"/>
        <n v="113.568"/>
        <n v="35.909999999999997"/>
        <n v="74.111999999999995"/>
        <n v="27.992000000000001"/>
        <n v="3.3039999999999998"/>
        <n v="147.16800000000001"/>
        <n v="95.92"/>
        <n v="56.56"/>
        <n v="32.700000000000003"/>
        <n v="35.167999999999999"/>
        <n v="4.8899999999999997"/>
        <n v="31.872"/>
        <n v="18.175999999999998"/>
        <n v="59.712000000000003"/>
        <n v="24.84"/>
        <n v="83.92"/>
        <n v="131.97999999999999"/>
        <n v="15.92"/>
        <n v="52.29"/>
        <n v="91.99"/>
        <n v="14.016"/>
        <n v="95.616"/>
        <n v="301.95999999999998"/>
        <n v="29.6"/>
        <n v="514.16499999999996"/>
        <n v="279.95999999999998"/>
        <n v="139.86000000000001"/>
        <n v="307.13600000000002"/>
        <n v="20.7"/>
        <n v="488.64600000000002"/>
        <n v="5.56"/>
        <n v="47.12"/>
        <n v="41.96"/>
        <n v="284.36399999999998"/>
        <n v="665.40800000000002"/>
        <n v="287.92"/>
        <n v="6.6719999999999997"/>
        <n v="15.992000000000001"/>
        <n v="2.91"/>
        <n v="5.78"/>
        <n v="205.33279999999999"/>
        <n v="839.43"/>
        <n v="19.989999999999998"/>
        <n v="647.84"/>
        <n v="866.4"/>
        <n v="207.846"/>
        <n v="10.56"/>
        <n v="96.53"/>
        <n v="20.37"/>
        <n v="221.55"/>
        <n v="17.52"/>
        <n v="725.84"/>
        <n v="49.96"/>
        <n v="47.975999999999999"/>
        <n v="52.448"/>
        <n v="20.16"/>
        <n v="3059.982"/>
        <n v="2519.9580000000001"/>
        <n v="129.56800000000001"/>
        <n v="8.16"/>
        <n v="1023.936"/>
        <n v="9.24"/>
        <n v="479.04"/>
        <n v="617.70000000000005"/>
        <n v="12.462"/>
        <n v="246.38399999999999"/>
        <n v="1799.97"/>
        <n v="19.3"/>
        <n v="4.8120000000000003"/>
        <n v="247.8"/>
        <n v="600.55799999999999"/>
        <n v="18.648"/>
        <n v="254.744"/>
        <n v="396.80200000000002"/>
        <n v="15.88"/>
        <n v="957.57749999999999"/>
        <n v="22.367999999999999"/>
        <n v="68.81"/>
        <n v="2.544"/>
        <n v="88.8"/>
        <n v="831.93600000000004"/>
        <n v="97.04"/>
        <n v="72.784000000000006"/>
        <n v="157.79400000000001"/>
        <n v="161.56800000000001"/>
        <n v="389.69600000000003"/>
        <n v="3083.43"/>
        <n v="9.6180000000000003"/>
        <n v="124.2"/>
        <n v="3.2639999999999998"/>
        <n v="86.304000000000002"/>
        <n v="6.8579999999999997"/>
        <n v="15.76"/>
        <n v="238.89599999999999"/>
        <n v="102.36"/>
        <n v="36.881999999999998"/>
        <n v="12.132"/>
        <n v="82.367999999999995"/>
        <n v="53.92"/>
        <n v="647.904"/>
        <n v="2.08"/>
        <n v="1114.4000000000001"/>
        <n v="213.11500000000001"/>
        <n v="375.45749999999998"/>
        <n v="83.975999999999999"/>
        <n v="4.7880000000000003"/>
        <n v="189.88200000000001"/>
        <n v="189.58799999999999"/>
        <n v="291.95999999999998"/>
        <n v="4.7679999999999998"/>
        <n v="81.424000000000007"/>
        <n v="238.56"/>
        <n v="290.89800000000002"/>
        <n v="54.223999999999997"/>
        <n v="786.74400000000003"/>
        <n v="100.24"/>
        <n v="37.764000000000003"/>
        <n v="20.724"/>
        <n v="4.8959999999999999"/>
        <n v="747.55799999999999"/>
        <n v="8.9280000000000008"/>
        <n v="233.86"/>
        <n v="620.61450000000002"/>
        <n v="5.3280000000000003"/>
        <n v="258.072"/>
        <n v="617.976"/>
        <n v="2.3879999999999999"/>
        <n v="243.99199999999999"/>
        <n v="5.6820000000000004"/>
        <n v="66.284000000000006"/>
        <n v="1.248"/>
        <n v="9.7080000000000002"/>
        <n v="230.376"/>
        <n v="2.9460000000000002"/>
        <n v="16.056000000000001"/>
        <n v="1488.424"/>
        <n v="37.207999999999998"/>
        <n v="57.576000000000001"/>
        <n v="97.263999999999996"/>
        <n v="219.07499999999999"/>
        <n v="1.6240000000000001"/>
        <n v="71.372"/>
        <n v="59.97"/>
        <n v="78.304000000000002"/>
        <n v="21.45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1995.99"/>
    </cacheField>
  </cacheFields>
  <extLst>
    <ext xmlns:x14="http://schemas.microsoft.com/office/spreadsheetml/2009/9/main" uri="{725AE2AE-9491-48be-B2B4-4EB974FC3084}">
      <x14:pivotCacheDefinition pivotCacheId="1660696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CA-2014-101476"/>
    <d v="2014-09-12T00:00:00"/>
    <x v="0"/>
    <x v="0"/>
    <s v="New Rochelle"/>
    <x v="0"/>
    <s v="Epson WorkForce WF-2530 All-in-One Printer, Copier Scanner"/>
    <x v="0"/>
    <n v="1"/>
    <n v="0"/>
    <n v="30.095700000000001"/>
  </r>
  <r>
    <s v="CA-2014-104269"/>
    <d v="2014-03-01T00:00:00"/>
    <x v="1"/>
    <x v="1"/>
    <s v="Seattle"/>
    <x v="1"/>
    <s v="Global Deluxe High-Back Manager's Chair"/>
    <x v="1"/>
    <n v="2"/>
    <n v="0.2"/>
    <n v="51.476399999999998"/>
  </r>
  <r>
    <s v="CA-2014-105893"/>
    <d v="2014-11-11T00:00:00"/>
    <x v="2"/>
    <x v="2"/>
    <s v="Madison"/>
    <x v="2"/>
    <s v="Stur-D-Stor Shelving, Vertical 5-Shelf: 72&quot;H x 36&quot;W x 18 1/2&quot;D"/>
    <x v="2"/>
    <n v="6"/>
    <n v="0"/>
    <n v="13.317600000000001"/>
  </r>
  <r>
    <s v="CA-2014-106376"/>
    <d v="2014-12-05T00:00:00"/>
    <x v="3"/>
    <x v="1"/>
    <s v="Gilbert"/>
    <x v="2"/>
    <s v="Hunt BOSTON Model 1606 High-Volume Electric Pencil Sharpener, Beige"/>
    <x v="3"/>
    <n v="8"/>
    <n v="0.2"/>
    <n v="111.30240000000001"/>
  </r>
  <r>
    <s v="CA-2014-106376"/>
    <d v="2014-12-05T00:00:00"/>
    <x v="3"/>
    <x v="1"/>
    <s v="Gilbert"/>
    <x v="0"/>
    <s v="netTALK DUO VoIP Telephone Service"/>
    <x v="4"/>
    <n v="4"/>
    <n v="0.2"/>
    <n v="62.988"/>
  </r>
  <r>
    <s v="CA-2014-110072"/>
    <d v="2014-10-22T00:00:00"/>
    <x v="4"/>
    <x v="0"/>
    <s v="Newark"/>
    <x v="1"/>
    <s v="Seth Thomas 14&quot; Putty-Colored Wall Clock"/>
    <x v="5"/>
    <n v="4"/>
    <n v="0.2"/>
    <n v="12.909599999999999"/>
  </r>
  <r>
    <s v="CA-2014-111003"/>
    <d v="2014-06-01T00:00:00"/>
    <x v="5"/>
    <x v="0"/>
    <s v="Lakewood"/>
    <x v="2"/>
    <s v="GBC Clear Cover, 8-1/2 x 11, unpunched, 25 covers per pack"/>
    <x v="6"/>
    <n v="3"/>
    <n v="0"/>
    <n v="20.9208"/>
  </r>
  <r>
    <s v="CA-2014-111003"/>
    <d v="2014-06-01T00:00:00"/>
    <x v="5"/>
    <x v="0"/>
    <s v="Lakewood"/>
    <x v="2"/>
    <s v="Boston Heavy-Duty Trimline Electric Pencil Sharpeners"/>
    <x v="7"/>
    <n v="6"/>
    <n v="0"/>
    <n v="83.867999999999995"/>
  </r>
  <r>
    <s v="CA-2014-111451"/>
    <d v="2014-12-26T00:00:00"/>
    <x v="3"/>
    <x v="1"/>
    <s v="Colorado Springs"/>
    <x v="1"/>
    <s v="Howard Miller 13&quot; Diameter Goldtone Round Wall Clock"/>
    <x v="8"/>
    <n v="8"/>
    <n v="0.2"/>
    <n v="78.859200000000001"/>
  </r>
  <r>
    <s v="CA-2014-111451"/>
    <d v="2014-12-26T00:00:00"/>
    <x v="3"/>
    <x v="1"/>
    <s v="Colorado Springs"/>
    <x v="1"/>
    <s v="Global Deluxe Office Fabric Chairs"/>
    <x v="9"/>
    <n v="3"/>
    <n v="0.2"/>
    <n v="20.155799999999999"/>
  </r>
  <r>
    <s v="CA-2014-111451"/>
    <d v="2014-12-26T00:00:00"/>
    <x v="3"/>
    <x v="1"/>
    <s v="Colorado Springs"/>
    <x v="1"/>
    <s v="Eldon ClusterMat Chair Mat with Cordless Antistatic Protection"/>
    <x v="10"/>
    <n v="3"/>
    <n v="0.2"/>
    <n v="-24.564599999999999"/>
  </r>
  <r>
    <s v="CA-2014-111451"/>
    <d v="2014-12-26T00:00:00"/>
    <x v="3"/>
    <x v="1"/>
    <s v="Colorado Springs"/>
    <x v="2"/>
    <s v="Ibico Laser Imprintable Binding System Covers"/>
    <x v="11"/>
    <n v="5"/>
    <n v="0.7"/>
    <n v="-62.88"/>
  </r>
  <r>
    <s v="CA-2014-111451"/>
    <d v="2014-12-26T00:00:00"/>
    <x v="3"/>
    <x v="1"/>
    <s v="Colorado Springs"/>
    <x v="2"/>
    <s v="Vinyl Coated Wire Paper Clips in Organizer Box, 800/Box"/>
    <x v="12"/>
    <n v="3"/>
    <n v="0.2"/>
    <n v="9.2988"/>
  </r>
  <r>
    <s v="CA-2014-113166"/>
    <d v="2014-12-24T00:00:00"/>
    <x v="3"/>
    <x v="3"/>
    <s v="Miami"/>
    <x v="2"/>
    <s v="Xerox 1974"/>
    <x v="13"/>
    <n v="2"/>
    <n v="0.2"/>
    <n v="3.4683999999999999"/>
  </r>
  <r>
    <s v="CA-2014-113362"/>
    <d v="2014-09-14T00:00:00"/>
    <x v="0"/>
    <x v="0"/>
    <s v="Rochester"/>
    <x v="2"/>
    <s v="Fellowes Officeware Wire Shelving"/>
    <x v="14"/>
    <n v="5"/>
    <n v="0"/>
    <n v="8.9830000000000005"/>
  </r>
  <r>
    <s v="CA-2014-113362"/>
    <d v="2014-09-14T00:00:00"/>
    <x v="0"/>
    <x v="0"/>
    <s v="Rochester"/>
    <x v="2"/>
    <s v="Colored Envelopes"/>
    <x v="15"/>
    <n v="3"/>
    <n v="0"/>
    <n v="5.0922000000000001"/>
  </r>
  <r>
    <s v="CA-2014-115259"/>
    <d v="2014-08-25T00:00:00"/>
    <x v="6"/>
    <x v="0"/>
    <s v="Columbus"/>
    <x v="2"/>
    <s v="OIC Colored Binder Clips, Assorted Sizes"/>
    <x v="16"/>
    <n v="14"/>
    <n v="0.2"/>
    <n v="14.534800000000001"/>
  </r>
  <r>
    <s v="CA-2014-115259"/>
    <d v="2014-08-25T00:00:00"/>
    <x v="6"/>
    <x v="0"/>
    <s v="Columbus"/>
    <x v="2"/>
    <s v="Redi-Strip #10 Envelopes, 4 1/8 x 9 1/2"/>
    <x v="17"/>
    <n v="2"/>
    <n v="0.2"/>
    <n v="1.6519999999999999"/>
  </r>
  <r>
    <s v="CA-2014-115259"/>
    <d v="2014-08-25T00:00:00"/>
    <x v="6"/>
    <x v="0"/>
    <s v="Columbus"/>
    <x v="2"/>
    <s v="Xerox 1921"/>
    <x v="18"/>
    <n v="3"/>
    <n v="0.2"/>
    <n v="7.4924999999999997"/>
  </r>
  <r>
    <s v="CA-2014-115259"/>
    <d v="2014-08-25T00:00:00"/>
    <x v="6"/>
    <x v="0"/>
    <s v="Columbus"/>
    <x v="2"/>
    <s v="Tyvek  Top-Opening Peel &amp; Seel Envelopes, Plain White"/>
    <x v="19"/>
    <n v="6"/>
    <n v="0.2"/>
    <n v="44.031599999999997"/>
  </r>
  <r>
    <s v="CA-2014-115812"/>
    <d v="2014-06-09T00:00:00"/>
    <x v="5"/>
    <x v="1"/>
    <s v="Los Angeles"/>
    <x v="1"/>
    <s v="Eldon Expressions Wood and Plastic Desk Accessories, Cherry Wood"/>
    <x v="20"/>
    <n v="7"/>
    <n v="0"/>
    <n v="14.1694"/>
  </r>
  <r>
    <s v="CA-2014-115812"/>
    <d v="2014-06-09T00:00:00"/>
    <x v="5"/>
    <x v="1"/>
    <s v="Los Angeles"/>
    <x v="2"/>
    <s v="Newell 322"/>
    <x v="21"/>
    <n v="4"/>
    <n v="0"/>
    <n v="1.9656"/>
  </r>
  <r>
    <s v="CA-2014-115812"/>
    <d v="2014-06-09T00:00:00"/>
    <x v="5"/>
    <x v="1"/>
    <s v="Los Angeles"/>
    <x v="0"/>
    <s v="Mitel 5320 IP Phone VoIP phone"/>
    <x v="22"/>
    <n v="6"/>
    <n v="0.2"/>
    <n v="90.715199999999996"/>
  </r>
  <r>
    <s v="CA-2014-115812"/>
    <d v="2014-06-09T00:00:00"/>
    <x v="5"/>
    <x v="1"/>
    <s v="Los Angeles"/>
    <x v="2"/>
    <s v="DXL Angle-View Binders with Locking Rings by Samsill"/>
    <x v="23"/>
    <n v="3"/>
    <n v="0.2"/>
    <n v="5.7824999999999998"/>
  </r>
  <r>
    <s v="CA-2014-115812"/>
    <d v="2014-06-09T00:00:00"/>
    <x v="5"/>
    <x v="1"/>
    <s v="Los Angeles"/>
    <x v="2"/>
    <s v="Belkin F5C206VTEL 6 Outlet Surge"/>
    <x v="24"/>
    <n v="5"/>
    <n v="0"/>
    <n v="34.47"/>
  </r>
  <r>
    <s v="CA-2014-115812"/>
    <d v="2014-06-09T00:00:00"/>
    <x v="5"/>
    <x v="1"/>
    <s v="Los Angeles"/>
    <x v="1"/>
    <s v="Chromcraft Rectangular Conference Tables"/>
    <x v="25"/>
    <n v="9"/>
    <n v="0.2"/>
    <n v="85.309200000000004"/>
  </r>
  <r>
    <s v="CA-2014-115812"/>
    <d v="2014-06-09T00:00:00"/>
    <x v="5"/>
    <x v="1"/>
    <s v="Los Angeles"/>
    <x v="0"/>
    <s v="Konftel 250 ConferenceÂ phoneÂ - Charcoal black"/>
    <x v="26"/>
    <n v="4"/>
    <n v="0.2"/>
    <n v="68.356800000000007"/>
  </r>
  <r>
    <s v="CA-2014-115973"/>
    <d v="2014-11-24T00:00:00"/>
    <x v="2"/>
    <x v="0"/>
    <s v="Cincinnati"/>
    <x v="2"/>
    <s v="Crayola Colored Pencils"/>
    <x v="27"/>
    <n v="1"/>
    <n v="0.2"/>
    <n v="0.4264"/>
  </r>
  <r>
    <s v="CA-2014-118962"/>
    <d v="2014-08-05T00:00:00"/>
    <x v="6"/>
    <x v="1"/>
    <s v="Los Angeles"/>
    <x v="2"/>
    <s v="Adams Phone Message Book, Professional, 400 Message Capacity, 5 3/6Â” x 11Â”"/>
    <x v="28"/>
    <n v="3"/>
    <n v="0"/>
    <n v="9.8417999999999992"/>
  </r>
  <r>
    <s v="CA-2014-118962"/>
    <d v="2014-08-05T00:00:00"/>
    <x v="6"/>
    <x v="1"/>
    <s v="Los Angeles"/>
    <x v="2"/>
    <s v="Xerox 1913"/>
    <x v="29"/>
    <n v="2"/>
    <n v="0"/>
    <n v="53.260800000000003"/>
  </r>
  <r>
    <s v="CA-2014-118962"/>
    <d v="2014-08-05T00:00:00"/>
    <x v="6"/>
    <x v="1"/>
    <s v="Los Angeles"/>
    <x v="1"/>
    <s v="Global Value Steno Chair, Gray"/>
    <x v="30"/>
    <n v="7"/>
    <n v="0.2"/>
    <n v="21.259"/>
  </r>
  <r>
    <s v="CA-2014-120887"/>
    <d v="2014-09-27T00:00:00"/>
    <x v="0"/>
    <x v="0"/>
    <s v="Hackensack"/>
    <x v="1"/>
    <s v="Deflect-o SuperTray Unbreakable Stackable Tray, Letter, Black"/>
    <x v="31"/>
    <n v="3"/>
    <n v="0"/>
    <n v="37.642200000000003"/>
  </r>
  <r>
    <s v="CA-2014-122336"/>
    <d v="2014-04-13T00:00:00"/>
    <x v="7"/>
    <x v="0"/>
    <s v="Philadelphia"/>
    <x v="2"/>
    <s v="Newell 314"/>
    <x v="32"/>
    <n v="4"/>
    <n v="0.2"/>
    <n v="1.1160000000000001"/>
  </r>
  <r>
    <s v="CA-2014-122336"/>
    <d v="2014-04-13T00:00:00"/>
    <x v="7"/>
    <x v="0"/>
    <s v="Philadelphia"/>
    <x v="2"/>
    <s v="Fellowes PB200 Plastic Comb Binding Machine"/>
    <x v="33"/>
    <n v="10"/>
    <n v="0.7"/>
    <n v="-407.976"/>
  </r>
  <r>
    <s v="CA-2014-122336"/>
    <d v="2014-04-13T00:00:00"/>
    <x v="7"/>
    <x v="0"/>
    <s v="Philadelphia"/>
    <x v="2"/>
    <s v="Staples"/>
    <x v="34"/>
    <n v="13"/>
    <n v="0.2"/>
    <n v="10.0724"/>
  </r>
  <r>
    <s v="CA-2014-122336"/>
    <d v="2014-04-13T00:00:00"/>
    <x v="7"/>
    <x v="0"/>
    <s v="Philadelphia"/>
    <x v="0"/>
    <s v="Square Credit Card Reader, 4 1/2&quot; x 4 1/2&quot; x 1&quot;, White"/>
    <x v="35"/>
    <n v="12"/>
    <n v="0.4"/>
    <n v="8.3916000000000004"/>
  </r>
  <r>
    <s v="CA-2014-123260"/>
    <d v="2014-08-26T00:00:00"/>
    <x v="6"/>
    <x v="1"/>
    <s v="Los Angeles"/>
    <x v="0"/>
    <s v="SanDisk Ultra 32 GB MicroSDHC Class 10 Memory Card"/>
    <x v="36"/>
    <n v="8"/>
    <n v="0"/>
    <n v="22.984000000000002"/>
  </r>
  <r>
    <s v="CA-2014-123344"/>
    <d v="2014-09-24T00:00:00"/>
    <x v="0"/>
    <x v="1"/>
    <s v="San Francisco"/>
    <x v="2"/>
    <s v="Gould Plastics 9-Pocket Panel Bin, 18-3/8w x 5-1/4d x 20-1/2h, Black"/>
    <x v="37"/>
    <n v="4"/>
    <n v="0"/>
    <n v="8.4784000000000006"/>
  </r>
  <r>
    <s v="CA-2014-127691"/>
    <d v="2014-07-22T00:00:00"/>
    <x v="8"/>
    <x v="0"/>
    <s v="New York City"/>
    <x v="2"/>
    <s v="Premium Writing Pencils, Soft, #2 by Central Association for the Blind"/>
    <x v="38"/>
    <n v="2"/>
    <n v="0"/>
    <n v="1.6688000000000001"/>
  </r>
  <r>
    <s v="CA-2014-127691"/>
    <d v="2014-07-22T00:00:00"/>
    <x v="8"/>
    <x v="0"/>
    <s v="New York City"/>
    <x v="0"/>
    <s v="Logitech G602 Wireless Gaming Mouse"/>
    <x v="39"/>
    <n v="2"/>
    <n v="0"/>
    <n v="57.592799999999997"/>
  </r>
  <r>
    <s v="CA-2014-129924"/>
    <d v="2014-07-12T00:00:00"/>
    <x v="8"/>
    <x v="1"/>
    <s v="San Francisco"/>
    <x v="2"/>
    <s v="Tuff Stuff Recycled Round Ring Binders"/>
    <x v="40"/>
    <n v="2"/>
    <n v="0.2"/>
    <n v="2.7955999999999999"/>
  </r>
  <r>
    <s v="CA-2014-129924"/>
    <d v="2014-07-12T00:00:00"/>
    <x v="8"/>
    <x v="1"/>
    <s v="San Francisco"/>
    <x v="1"/>
    <s v="Hon 5100 Series Wood Tables"/>
    <x v="41"/>
    <n v="3"/>
    <n v="0.2"/>
    <n v="-17.4588"/>
  </r>
  <r>
    <s v="CA-2014-130960"/>
    <d v="2014-12-30T00:00:00"/>
    <x v="3"/>
    <x v="2"/>
    <s v="Taylor"/>
    <x v="2"/>
    <s v="Newell 350"/>
    <x v="42"/>
    <n v="3"/>
    <n v="0"/>
    <n v="2.8536000000000001"/>
  </r>
  <r>
    <s v="CA-2014-131926"/>
    <d v="2014-06-01T00:00:00"/>
    <x v="5"/>
    <x v="2"/>
    <s v="Lakeville"/>
    <x v="1"/>
    <s v="Global Deluxe High-Back Manager's Chair"/>
    <x v="43"/>
    <n v="7"/>
    <n v="0"/>
    <n v="580.5394"/>
  </r>
  <r>
    <s v="CA-2014-131926"/>
    <d v="2014-06-01T00:00:00"/>
    <x v="5"/>
    <x v="2"/>
    <s v="Lakeville"/>
    <x v="2"/>
    <s v="Safco Steel Mobile File Cart"/>
    <x v="44"/>
    <n v="2"/>
    <n v="0"/>
    <n v="41.68"/>
  </r>
  <r>
    <s v="CA-2014-131926"/>
    <d v="2014-06-01T00:00:00"/>
    <x v="5"/>
    <x v="2"/>
    <s v="Lakeville"/>
    <x v="2"/>
    <s v="Adams Telephone Message Book w/Frequently-Called Numbers Space, 400 Messages per Book"/>
    <x v="45"/>
    <n v="6"/>
    <n v="0"/>
    <n v="23.94"/>
  </r>
  <r>
    <s v="CA-2014-131926"/>
    <d v="2014-06-01T00:00:00"/>
    <x v="5"/>
    <x v="2"/>
    <s v="Lakeville"/>
    <x v="2"/>
    <s v="Honeywell Enviracaire Portable HEPA Air Cleaner for 17' x 22' Room"/>
    <x v="46"/>
    <n v="5"/>
    <n v="0"/>
    <n v="496.07249999999999"/>
  </r>
  <r>
    <s v="CA-2014-131926"/>
    <d v="2014-06-01T00:00:00"/>
    <x v="5"/>
    <x v="2"/>
    <s v="Lakeville"/>
    <x v="2"/>
    <s v="Xerox 205"/>
    <x v="47"/>
    <n v="4"/>
    <n v="0"/>
    <n v="12.441599999999999"/>
  </r>
  <r>
    <s v="CA-2014-133690"/>
    <d v="2014-08-03T00:00:00"/>
    <x v="6"/>
    <x v="1"/>
    <s v="Denver"/>
    <x v="1"/>
    <s v="BoxOffice By Design Rectangular and Half-Moon Meeting Room Tables"/>
    <x v="48"/>
    <n v="2"/>
    <n v="0.5"/>
    <n v="-161.875"/>
  </r>
  <r>
    <s v="CA-2014-133690"/>
    <d v="2014-08-03T00:00:00"/>
    <x v="6"/>
    <x v="1"/>
    <s v="Denver"/>
    <x v="2"/>
    <s v="Bravo II Megaboss 12-Amp Hard Body Upright, Replacement Belts, 2 Belts per Pack"/>
    <x v="49"/>
    <n v="1"/>
    <n v="0.2"/>
    <n v="0.29249999999999998"/>
  </r>
  <r>
    <s v="CA-2014-133753"/>
    <d v="2014-06-09T00:00:00"/>
    <x v="5"/>
    <x v="2"/>
    <s v="Huntsville"/>
    <x v="0"/>
    <s v="Square Credit Card Reader"/>
    <x v="50"/>
    <n v="1"/>
    <n v="0.2"/>
    <n v="0.59940000000000004"/>
  </r>
  <r>
    <s v="CA-2014-133753"/>
    <d v="2014-06-09T00:00:00"/>
    <x v="5"/>
    <x v="2"/>
    <s v="Huntsville"/>
    <x v="0"/>
    <s v="Logitech M510 Wireless Mouse"/>
    <x v="51"/>
    <n v="2"/>
    <n v="0.2"/>
    <n v="10.397399999999999"/>
  </r>
  <r>
    <s v="CA-2014-133753"/>
    <d v="2014-06-09T00:00:00"/>
    <x v="5"/>
    <x v="2"/>
    <s v="Huntsville"/>
    <x v="2"/>
    <s v="Boston 1645 Deluxe Heavier-Duty Electric Pencil Sharpener"/>
    <x v="52"/>
    <n v="2"/>
    <n v="0.2"/>
    <n v="6.1571999999999996"/>
  </r>
  <r>
    <s v="CA-2014-134677"/>
    <d v="2014-10-06T00:00:00"/>
    <x v="4"/>
    <x v="1"/>
    <s v="San Diego"/>
    <x v="0"/>
    <s v="ImationÂ USB 2.0 SwivelÂ Flash DriveÂ USBÂ flash driveÂ - 4 GB - Pink"/>
    <x v="53"/>
    <n v="3"/>
    <n v="0"/>
    <n v="1.9089"/>
  </r>
  <r>
    <s v="CA-2014-139451"/>
    <d v="2014-10-12T00:00:00"/>
    <x v="4"/>
    <x v="1"/>
    <s v="San Francisco"/>
    <x v="2"/>
    <s v="Premium Writing Pencils, Soft, #2 by Central Association for the Blind"/>
    <x v="54"/>
    <n v="5"/>
    <n v="0"/>
    <n v="4.1719999999999997"/>
  </r>
  <r>
    <s v="CA-2014-139451"/>
    <d v="2014-10-12T00:00:00"/>
    <x v="4"/>
    <x v="1"/>
    <s v="San Francisco"/>
    <x v="2"/>
    <s v="Sortfiler Multipurpose Personal File Organizer, Black"/>
    <x v="55"/>
    <n v="1"/>
    <n v="0"/>
    <n v="6.2031000000000001"/>
  </r>
  <r>
    <s v="CA-2014-139892"/>
    <d v="2014-09-08T00:00:00"/>
    <x v="0"/>
    <x v="2"/>
    <s v="San Antonio"/>
    <x v="2"/>
    <s v="BIC Brite Liner Highlighters"/>
    <x v="56"/>
    <n v="3"/>
    <n v="0.2"/>
    <n v="2.7324000000000002"/>
  </r>
  <r>
    <s v="CA-2014-139892"/>
    <d v="2014-09-08T00:00:00"/>
    <x v="0"/>
    <x v="2"/>
    <s v="San Antonio"/>
    <x v="0"/>
    <s v="Lexmark MX611dhe Monochrome Laser Printer"/>
    <x v="57"/>
    <n v="8"/>
    <n v="0.4"/>
    <n v="-1359.992"/>
  </r>
  <r>
    <s v="CA-2014-139892"/>
    <d v="2014-09-08T00:00:00"/>
    <x v="0"/>
    <x v="2"/>
    <s v="San Antonio"/>
    <x v="2"/>
    <s v="Space Solutions HD Industrial Steel Shelving."/>
    <x v="58"/>
    <n v="3"/>
    <n v="0.2"/>
    <n v="-58.634700000000002"/>
  </r>
  <r>
    <s v="CA-2014-139892"/>
    <d v="2014-09-08T00:00:00"/>
    <x v="0"/>
    <x v="2"/>
    <s v="San Antonio"/>
    <x v="1"/>
    <s v="SAFCO Arco Folding Chair"/>
    <x v="59"/>
    <n v="9"/>
    <n v="0.3"/>
    <n v="-24.858000000000001"/>
  </r>
  <r>
    <s v="CA-2014-139892"/>
    <d v="2014-09-08T00:00:00"/>
    <x v="0"/>
    <x v="2"/>
    <s v="San Antonio"/>
    <x v="2"/>
    <s v="Sanford Liquid Accent Highlighters"/>
    <x v="60"/>
    <n v="6"/>
    <n v="0.2"/>
    <n v="6.8136000000000001"/>
  </r>
  <r>
    <s v="CA-2014-139892"/>
    <d v="2014-09-08T00:00:00"/>
    <x v="0"/>
    <x v="2"/>
    <s v="San Antonio"/>
    <x v="2"/>
    <s v="Kensington 7 Outlet MasterPiece Power Center"/>
    <x v="61"/>
    <n v="5"/>
    <n v="0.8"/>
    <n v="-453.84899999999999"/>
  </r>
  <r>
    <s v="CA-2014-139892"/>
    <d v="2014-09-08T00:00:00"/>
    <x v="0"/>
    <x v="2"/>
    <s v="San Antonio"/>
    <x v="0"/>
    <s v="JBL Micro Wireless Portable Bluetooth Speaker"/>
    <x v="62"/>
    <n v="3"/>
    <n v="0.2"/>
    <n v="8.9984999999999999"/>
  </r>
  <r>
    <s v="CA-2014-140004"/>
    <d v="2014-03-21T00:00:00"/>
    <x v="1"/>
    <x v="0"/>
    <s v="Hamilton"/>
    <x v="2"/>
    <s v="Binney &amp; Smith Crayola Metallic Colored Pencils, 8-Color Set"/>
    <x v="63"/>
    <n v="2"/>
    <n v="0.2"/>
    <n v="1.2038"/>
  </r>
  <r>
    <s v="CA-2014-140004"/>
    <d v="2014-03-21T00:00:00"/>
    <x v="1"/>
    <x v="0"/>
    <s v="Hamilton"/>
    <x v="2"/>
    <s v="Binney &amp; Smith inkTank Erasable Desk Highlighter, Chisel Tip, Yellow, 12/Box"/>
    <x v="64"/>
    <n v="3"/>
    <n v="0.2"/>
    <n v="1.5875999999999999"/>
  </r>
  <r>
    <s v="CA-2014-142048"/>
    <d v="2014-06-22T00:00:00"/>
    <x v="5"/>
    <x v="1"/>
    <s v="Louisville"/>
    <x v="0"/>
    <s v="KeyTronicÂ 6101 Series -Â KeyboardÂ - Black"/>
    <x v="65"/>
    <n v="6"/>
    <n v="0.2"/>
    <n v="56.566200000000002"/>
  </r>
  <r>
    <s v="CA-2014-143336"/>
    <d v="2014-08-27T00:00:00"/>
    <x v="6"/>
    <x v="1"/>
    <s v="San Francisco"/>
    <x v="2"/>
    <s v="Newell 341"/>
    <x v="66"/>
    <n v="2"/>
    <n v="0"/>
    <n v="2.4824000000000002"/>
  </r>
  <r>
    <s v="CA-2014-143336"/>
    <d v="2014-08-27T00:00:00"/>
    <x v="6"/>
    <x v="1"/>
    <s v="San Francisco"/>
    <x v="0"/>
    <s v="Cisco SPA 501G IP Phone"/>
    <x v="67"/>
    <n v="3"/>
    <n v="0.2"/>
    <n v="16.010999999999999"/>
  </r>
  <r>
    <s v="CA-2014-143336"/>
    <d v="2014-08-27T00:00:00"/>
    <x v="6"/>
    <x v="1"/>
    <s v="San Francisco"/>
    <x v="2"/>
    <s v="Wilson Jones Hanging View Binder, White, 1&quot;"/>
    <x v="68"/>
    <n v="4"/>
    <n v="0.2"/>
    <n v="7.3840000000000003"/>
  </r>
  <r>
    <s v="CA-2014-144666"/>
    <d v="2014-11-09T00:00:00"/>
    <x v="2"/>
    <x v="1"/>
    <s v="San Francisco"/>
    <x v="2"/>
    <s v="SAFCO Boltless Steel Shelving"/>
    <x v="69"/>
    <n v="3"/>
    <n v="0"/>
    <n v="3.4091999999999998"/>
  </r>
  <r>
    <s v="CA-2014-144666"/>
    <d v="2014-11-09T00:00:00"/>
    <x v="2"/>
    <x v="1"/>
    <s v="San Francisco"/>
    <x v="1"/>
    <s v="Sauder Mission Library with Doors, Fruitwood Finish"/>
    <x v="70"/>
    <n v="2"/>
    <n v="0.15"/>
    <n v="10.478400000000001"/>
  </r>
  <r>
    <s v="CA-2014-144666"/>
    <d v="2014-11-09T00:00:00"/>
    <x v="2"/>
    <x v="1"/>
    <s v="San Francisco"/>
    <x v="0"/>
    <s v="Samsung Galaxy Note 3"/>
    <x v="71"/>
    <n v="4"/>
    <n v="0.2"/>
    <n v="87.995999999999995"/>
  </r>
  <r>
    <s v="CA-2014-144666"/>
    <d v="2014-11-09T00:00:00"/>
    <x v="2"/>
    <x v="1"/>
    <s v="San Francisco"/>
    <x v="2"/>
    <s v="Decoflex Hanging Personal Folder File, Blue"/>
    <x v="72"/>
    <n v="6"/>
    <n v="0"/>
    <n v="24.980399999999999"/>
  </r>
  <r>
    <s v="CA-2014-144666"/>
    <d v="2014-11-09T00:00:00"/>
    <x v="2"/>
    <x v="1"/>
    <s v="San Francisco"/>
    <x v="2"/>
    <s v="Recycled Desk Saver Line &quot;While You Were Out&quot; Book, 5 1/2&quot; X 4&quot;"/>
    <x v="73"/>
    <n v="7"/>
    <n v="0"/>
    <n v="28.818999999999999"/>
  </r>
  <r>
    <s v="CA-2014-144666"/>
    <d v="2014-11-09T00:00:00"/>
    <x v="2"/>
    <x v="1"/>
    <s v="San Francisco"/>
    <x v="2"/>
    <s v="Xerox 1912"/>
    <x v="74"/>
    <n v="5"/>
    <n v="0"/>
    <n v="45.527999999999999"/>
  </r>
  <r>
    <s v="CA-2014-146703"/>
    <d v="2014-10-20T00:00:00"/>
    <x v="4"/>
    <x v="2"/>
    <s v="Westland"/>
    <x v="2"/>
    <s v="Gould Plastics 9-Pocket Panel Bin, 18-3/8w x 5-1/4d x 20-1/2h, Black"/>
    <x v="37"/>
    <n v="4"/>
    <n v="0"/>
    <n v="8.4784000000000006"/>
  </r>
  <r>
    <s v="CA-2014-154627"/>
    <d v="2014-10-29T00:00:00"/>
    <x v="4"/>
    <x v="2"/>
    <s v="Chicago"/>
    <x v="0"/>
    <s v="Apple iPhone 5S"/>
    <x v="75"/>
    <n v="6"/>
    <n v="0.2"/>
    <n v="341.99400000000003"/>
  </r>
  <r>
    <s v="CA-2014-155208"/>
    <d v="2014-04-16T00:00:00"/>
    <x v="7"/>
    <x v="3"/>
    <s v="Wilmington"/>
    <x v="2"/>
    <s v="Avery Hi-Liter EverBold Pen Style Fluorescent Highlighters, 4/Pack"/>
    <x v="76"/>
    <n v="6"/>
    <n v="0.2"/>
    <n v="9.7680000000000007"/>
  </r>
  <r>
    <s v="CA-2014-156601"/>
    <d v="2014-09-19T00:00:00"/>
    <x v="0"/>
    <x v="1"/>
    <s v="Long Beach"/>
    <x v="2"/>
    <s v="OIC Binder Clips"/>
    <x v="77"/>
    <n v="2"/>
    <n v="0"/>
    <n v="3.58"/>
  </r>
  <r>
    <s v="CA-2014-158274"/>
    <d v="2014-11-19T00:00:00"/>
    <x v="2"/>
    <x v="3"/>
    <s v="Monroe"/>
    <x v="0"/>
    <s v="AT&amp;T TR1909W"/>
    <x v="78"/>
    <n v="4"/>
    <n v="0"/>
    <n v="131.02959999999999"/>
  </r>
  <r>
    <s v="CA-2014-158274"/>
    <d v="2014-11-19T00:00:00"/>
    <x v="2"/>
    <x v="3"/>
    <s v="Monroe"/>
    <x v="0"/>
    <s v="Nokia Lumia 521 (T-Mobile)"/>
    <x v="79"/>
    <n v="5"/>
    <n v="0"/>
    <n v="41.985999999999997"/>
  </r>
  <r>
    <s v="CA-2014-158274"/>
    <d v="2014-11-19T00:00:00"/>
    <x v="2"/>
    <x v="3"/>
    <s v="Monroe"/>
    <x v="0"/>
    <s v="HP Standard 104 key PS/2 Keyboard"/>
    <x v="80"/>
    <n v="2"/>
    <n v="0"/>
    <n v="7.25"/>
  </r>
  <r>
    <s v="CA-2014-164259"/>
    <d v="2014-12-28T00:00:00"/>
    <x v="3"/>
    <x v="0"/>
    <s v="Philadelphia"/>
    <x v="2"/>
    <s v="Boston School Pro Electric Pencil Sharpener, 1670"/>
    <x v="81"/>
    <n v="4"/>
    <n v="0.2"/>
    <n v="8.6744000000000003"/>
  </r>
  <r>
    <s v="CA-2014-164973"/>
    <d v="2014-11-04T00:00:00"/>
    <x v="2"/>
    <x v="0"/>
    <s v="New York City"/>
    <x v="1"/>
    <s v="DMI Arturo Collection Mission-style Design Wood Chair"/>
    <x v="82"/>
    <n v="1"/>
    <n v="0.1"/>
    <n v="24.1568"/>
  </r>
  <r>
    <s v="CA-2014-164973"/>
    <d v="2014-11-04T00:00:00"/>
    <x v="2"/>
    <x v="0"/>
    <s v="New York City"/>
    <x v="0"/>
    <s v="Canon imageCLASS MF7460 Monochrome Digital Laser Multifunction Copier"/>
    <x v="83"/>
    <n v="2"/>
    <n v="0"/>
    <n v="1995.99"/>
  </r>
  <r>
    <s v="CA-2014-164973"/>
    <d v="2014-11-04T00:00:00"/>
    <x v="2"/>
    <x v="0"/>
    <s v="New York City"/>
    <x v="0"/>
    <s v="Panasonic Kx-TS550"/>
    <x v="84"/>
    <n v="6"/>
    <n v="0"/>
    <n v="80.022599999999997"/>
  </r>
  <r>
    <s v="CA-2014-164973"/>
    <d v="2014-11-04T00:00:00"/>
    <x v="2"/>
    <x v="0"/>
    <s v="New York City"/>
    <x v="0"/>
    <s v="NETGEAR N750 Dual Band Wi-Fi Gigabit Router"/>
    <x v="85"/>
    <n v="4"/>
    <n v="0"/>
    <n v="129.6"/>
  </r>
  <r>
    <s v="CA-2014-164973"/>
    <d v="2014-11-04T00:00:00"/>
    <x v="2"/>
    <x v="0"/>
    <s v="New York City"/>
    <x v="2"/>
    <s v="Trav-L-File Heavy-Duty Shuttle II, Black"/>
    <x v="86"/>
    <n v="1"/>
    <n v="0"/>
    <n v="13.071"/>
  </r>
  <r>
    <s v="CA-2014-166191"/>
    <d v="2014-12-05T00:00:00"/>
    <x v="3"/>
    <x v="2"/>
    <s v="Decatur"/>
    <x v="2"/>
    <s v="Tenex File Box, Personal Filing Tote with Lid, Black"/>
    <x v="87"/>
    <n v="2"/>
    <n v="0.2"/>
    <n v="1.8612"/>
  </r>
  <r>
    <s v="CA-2014-166191"/>
    <d v="2014-12-05T00:00:00"/>
    <x v="3"/>
    <x v="2"/>
    <s v="Decatur"/>
    <x v="0"/>
    <s v="ImationÂ Secure+ Hardware Encrypted USB 2.0Â Flash Drive; 16GB"/>
    <x v="88"/>
    <n v="7"/>
    <n v="0.2"/>
    <n v="76.639499999999998"/>
  </r>
  <r>
    <s v="CA-2014-167164"/>
    <d v="2014-05-13T00:00:00"/>
    <x v="9"/>
    <x v="1"/>
    <s v="West Jordan"/>
    <x v="2"/>
    <s v="Fellowes Super Stor/Drawer"/>
    <x v="89"/>
    <n v="2"/>
    <n v="0"/>
    <n v="9.99"/>
  </r>
  <r>
    <s v="CA-2014-167850"/>
    <d v="2014-08-09T00:00:00"/>
    <x v="6"/>
    <x v="3"/>
    <s v="Saint Petersburg"/>
    <x v="0"/>
    <s v="AT&amp;T 1070 Corded Phone"/>
    <x v="90"/>
    <n v="2"/>
    <n v="0.2"/>
    <n v="22.297999999999998"/>
  </r>
  <r>
    <s v="CA-2014-167850"/>
    <d v="2014-08-09T00:00:00"/>
    <x v="6"/>
    <x v="3"/>
    <s v="Saint Petersburg"/>
    <x v="2"/>
    <s v="Xerox 21"/>
    <x v="91"/>
    <n v="3"/>
    <n v="0.2"/>
    <n v="5.4432"/>
  </r>
  <r>
    <s v="CA-2015-101007"/>
    <d v="2015-02-09T00:00:00"/>
    <x v="10"/>
    <x v="2"/>
    <s v="Dallas"/>
    <x v="0"/>
    <s v="Memorex Micro Travel Drive 8 GB"/>
    <x v="92"/>
    <n v="2"/>
    <n v="0.2"/>
    <n v="6.5"/>
  </r>
  <r>
    <s v="CA-2015-102281"/>
    <d v="2015-10-12T00:00:00"/>
    <x v="4"/>
    <x v="0"/>
    <s v="New York City"/>
    <x v="1"/>
    <s v="Atlantic Metals Mobile 4-Shelf Bookcases, Custom Colors"/>
    <x v="93"/>
    <n v="4"/>
    <n v="0.2"/>
    <n v="112.392"/>
  </r>
  <r>
    <s v="CA-2015-102281"/>
    <d v="2015-10-12T00:00:00"/>
    <x v="4"/>
    <x v="0"/>
    <s v="New York City"/>
    <x v="0"/>
    <s v="I Need's 3d Hello Kitty Hybrid Silicone Case Cover for HTC One X 4g with 3d Hello Kitty Stylus Pen Green/pink"/>
    <x v="94"/>
    <n v="6"/>
    <n v="0"/>
    <n v="20.0928"/>
  </r>
  <r>
    <s v="CA-2015-102281"/>
    <d v="2015-10-12T00:00:00"/>
    <x v="4"/>
    <x v="0"/>
    <s v="New York City"/>
    <x v="2"/>
    <s v="Xerox 205"/>
    <x v="95"/>
    <n v="8"/>
    <n v="0"/>
    <n v="24.883199999999999"/>
  </r>
  <r>
    <s v="CA-2015-102281"/>
    <d v="2015-10-12T00:00:00"/>
    <x v="4"/>
    <x v="0"/>
    <s v="New York City"/>
    <x v="1"/>
    <s v="Atlantic Metals Mobile 3-Shelf Bookcases, Custom Colors"/>
    <x v="96"/>
    <n v="3"/>
    <n v="0.2"/>
    <n v="46.976399999999998"/>
  </r>
  <r>
    <s v="CA-2015-102281"/>
    <d v="2015-10-12T00:00:00"/>
    <x v="4"/>
    <x v="0"/>
    <s v="New York City"/>
    <x v="2"/>
    <s v="4009 Highlighters by Sanford"/>
    <x v="97"/>
    <n v="5"/>
    <n v="0"/>
    <n v="6.5670000000000002"/>
  </r>
  <r>
    <s v="CA-2015-106320"/>
    <d v="2015-09-25T00:00:00"/>
    <x v="0"/>
    <x v="1"/>
    <s v="Orem"/>
    <x v="1"/>
    <s v="Bretford CR4500 Series Slim Rectangular Table"/>
    <x v="98"/>
    <n v="3"/>
    <n v="0"/>
    <n v="240.26490000000001"/>
  </r>
  <r>
    <s v="CA-2015-109638"/>
    <d v="2015-12-15T00:00:00"/>
    <x v="3"/>
    <x v="1"/>
    <s v="Seattle"/>
    <x v="2"/>
    <s v="3M Office Air Cleaner"/>
    <x v="99"/>
    <n v="4"/>
    <n v="0"/>
    <n v="36.372"/>
  </r>
  <r>
    <s v="CA-2015-109638"/>
    <d v="2015-12-15T00:00:00"/>
    <x v="3"/>
    <x v="1"/>
    <s v="Seattle"/>
    <x v="0"/>
    <s v="Logitech G700s Rechargeable Gaming Mouse"/>
    <x v="100"/>
    <n v="9"/>
    <n v="0"/>
    <n v="377.9622"/>
  </r>
  <r>
    <s v="CA-2015-109638"/>
    <d v="2015-12-15T00:00:00"/>
    <x v="3"/>
    <x v="1"/>
    <s v="Seattle"/>
    <x v="2"/>
    <s v="Acco D-Ring Binder w/DublLock"/>
    <x v="101"/>
    <n v="3"/>
    <n v="0.2"/>
    <n v="18.6006"/>
  </r>
  <r>
    <s v="CA-2015-110457"/>
    <d v="2015-03-02T00:00:00"/>
    <x v="1"/>
    <x v="1"/>
    <s v="Seattle"/>
    <x v="1"/>
    <s v="Hon Racetrack Conference Tables"/>
    <x v="102"/>
    <n v="3"/>
    <n v="0"/>
    <n v="165.38130000000001"/>
  </r>
  <r>
    <s v="CA-2015-110744"/>
    <d v="2015-09-07T00:00:00"/>
    <x v="0"/>
    <x v="1"/>
    <s v="Pasadena"/>
    <x v="2"/>
    <s v="Safco Industrial Wire Shelving"/>
    <x v="103"/>
    <n v="7"/>
    <n v="0"/>
    <n v="20.157900000000001"/>
  </r>
  <r>
    <s v="CA-2015-115742"/>
    <d v="2015-04-18T00:00:00"/>
    <x v="7"/>
    <x v="2"/>
    <s v="New Albany"/>
    <x v="2"/>
    <s v="C-Line Peel &amp; Stick Add-On Filing Pockets, 8-3/4 x 5-1/8, 10/Pack"/>
    <x v="104"/>
    <n v="6"/>
    <n v="0"/>
    <n v="17.9634"/>
  </r>
  <r>
    <s v="CA-2015-115742"/>
    <d v="2015-04-18T00:00:00"/>
    <x v="7"/>
    <x v="2"/>
    <s v="New Albany"/>
    <x v="2"/>
    <s v="Avery 485"/>
    <x v="105"/>
    <n v="6"/>
    <n v="0"/>
    <n v="35.334600000000002"/>
  </r>
  <r>
    <s v="CA-2015-115742"/>
    <d v="2015-04-18T00:00:00"/>
    <x v="7"/>
    <x v="2"/>
    <s v="New Albany"/>
    <x v="1"/>
    <s v="Longer-Life Soft White Bulbs"/>
    <x v="106"/>
    <n v="2"/>
    <n v="0"/>
    <n v="2.9567999999999999"/>
  </r>
  <r>
    <s v="CA-2015-115742"/>
    <d v="2015-04-18T00:00:00"/>
    <x v="7"/>
    <x v="2"/>
    <s v="New Albany"/>
    <x v="1"/>
    <s v="Global Leather Task Chair, Black"/>
    <x v="107"/>
    <n v="1"/>
    <n v="0"/>
    <n v="17.098099999999999"/>
  </r>
  <r>
    <s v="CA-2015-117415"/>
    <d v="2015-12-27T00:00:00"/>
    <x v="3"/>
    <x v="2"/>
    <s v="Houston"/>
    <x v="2"/>
    <s v="#10-4 1/8&quot; x 9 1/2&quot; Premium Diagonal Seam Envelopes"/>
    <x v="108"/>
    <n v="9"/>
    <n v="0.2"/>
    <n v="35.414999999999999"/>
  </r>
  <r>
    <s v="CA-2015-117415"/>
    <d v="2015-12-27T00:00:00"/>
    <x v="3"/>
    <x v="2"/>
    <s v="Houston"/>
    <x v="1"/>
    <s v="Atlantic Metals Mobile 3-Shelf Bookcases, Custom Colors"/>
    <x v="109"/>
    <n v="3"/>
    <n v="0.32"/>
    <n v="-46.976399999999998"/>
  </r>
  <r>
    <s v="CA-2015-117415"/>
    <d v="2015-12-27T00:00:00"/>
    <x v="3"/>
    <x v="2"/>
    <s v="Houston"/>
    <x v="1"/>
    <s v="Global Fabric Manager's Chair, Dark Gray"/>
    <x v="110"/>
    <n v="3"/>
    <n v="0.3"/>
    <n v="-15.147"/>
  </r>
  <r>
    <s v="CA-2015-117415"/>
    <d v="2015-12-27T00:00:00"/>
    <x v="3"/>
    <x v="2"/>
    <s v="Houston"/>
    <x v="0"/>
    <s v="Plantronics HL10 Handset Lifter"/>
    <x v="111"/>
    <n v="4"/>
    <n v="0.2"/>
    <n v="41.756399999999999"/>
  </r>
  <r>
    <s v="CA-2015-118948"/>
    <d v="2015-05-28T00:00:00"/>
    <x v="9"/>
    <x v="1"/>
    <s v="Seattle"/>
    <x v="2"/>
    <s v="Newell 311"/>
    <x v="112"/>
    <n v="3"/>
    <n v="0"/>
    <n v="1.7901"/>
  </r>
  <r>
    <s v="CA-2015-119697"/>
    <d v="2015-12-28T00:00:00"/>
    <x v="3"/>
    <x v="0"/>
    <s v="Philadelphia"/>
    <x v="0"/>
    <s v="Lenovo 17-Key USB Numeric Keypad"/>
    <x v="113"/>
    <n v="2"/>
    <n v="0.2"/>
    <n v="1.3595999999999999"/>
  </r>
  <r>
    <s v="CA-2015-122259"/>
    <d v="2015-10-31T00:00:00"/>
    <x v="4"/>
    <x v="2"/>
    <s v="Jackson"/>
    <x v="2"/>
    <s v="Acme 10&quot; Easy Grip Assistive Scissors"/>
    <x v="114"/>
    <n v="4"/>
    <n v="0"/>
    <n v="21.036000000000001"/>
  </r>
  <r>
    <s v="CA-2015-122756"/>
    <d v="2015-12-03T00:00:00"/>
    <x v="3"/>
    <x v="0"/>
    <s v="Philadelphia"/>
    <x v="0"/>
    <s v="Lexmark MarkNet N8150 Wireless Print Server"/>
    <x v="115"/>
    <n v="4"/>
    <n v="0.7"/>
    <n v="-337.63799999999998"/>
  </r>
  <r>
    <s v="CA-2015-122756"/>
    <d v="2015-12-03T00:00:00"/>
    <x v="3"/>
    <x v="0"/>
    <s v="Philadelphia"/>
    <x v="1"/>
    <s v="3M Hangers With Command Adhesive"/>
    <x v="116"/>
    <n v="1"/>
    <n v="0.2"/>
    <n v="0.77700000000000002"/>
  </r>
  <r>
    <s v="CA-2015-124919"/>
    <d v="2015-05-31T00:00:00"/>
    <x v="9"/>
    <x v="1"/>
    <s v="San Jose"/>
    <x v="2"/>
    <s v="Southworth 25% Cotton Antique Laid Paper &amp; Envelopes"/>
    <x v="117"/>
    <n v="7"/>
    <n v="0"/>
    <n v="26.271000000000001"/>
  </r>
  <r>
    <s v="CA-2015-124919"/>
    <d v="2015-05-31T00:00:00"/>
    <x v="9"/>
    <x v="1"/>
    <s v="San Jose"/>
    <x v="2"/>
    <s v="Xerox 1883"/>
    <x v="118"/>
    <n v="4"/>
    <n v="0"/>
    <n v="48.539200000000001"/>
  </r>
  <r>
    <s v="CA-2015-124919"/>
    <d v="2015-05-31T00:00:00"/>
    <x v="9"/>
    <x v="1"/>
    <s v="San Jose"/>
    <x v="2"/>
    <s v="Tenex Personal Project File with Scoop Front Design, Black"/>
    <x v="119"/>
    <n v="6"/>
    <n v="0"/>
    <n v="21.0288"/>
  </r>
  <r>
    <s v="CA-2015-125395"/>
    <d v="2015-06-26T00:00:00"/>
    <x v="5"/>
    <x v="2"/>
    <s v="Taylor"/>
    <x v="0"/>
    <s v="Sony 32GB Class 10 Micro SDHC R40 Memory Card"/>
    <x v="120"/>
    <n v="2"/>
    <n v="0"/>
    <n v="8.7989999999999995"/>
  </r>
  <r>
    <s v="CA-2015-128167"/>
    <d v="2015-06-22T00:00:00"/>
    <x v="5"/>
    <x v="1"/>
    <s v="Layton"/>
    <x v="2"/>
    <s v="OIC Binder Clips, Mini, 1/4&quot; Capacity, Black"/>
    <x v="121"/>
    <n v="4"/>
    <n v="0"/>
    <n v="2.3311999999999999"/>
  </r>
  <r>
    <s v="CA-2015-129476"/>
    <d v="2015-10-15T00:00:00"/>
    <x v="4"/>
    <x v="2"/>
    <s v="Orland Park"/>
    <x v="0"/>
    <s v="LogitechÂ Gaming G510s - Keyboard"/>
    <x v="122"/>
    <n v="5"/>
    <n v="0.2"/>
    <n v="67.992000000000004"/>
  </r>
  <r>
    <s v="CA-2015-130792"/>
    <d v="2015-04-28T00:00:00"/>
    <x v="7"/>
    <x v="2"/>
    <s v="Houston"/>
    <x v="2"/>
    <s v="Holmes Odor Grabber"/>
    <x v="123"/>
    <n v="3"/>
    <n v="0.8"/>
    <n v="-20.3322"/>
  </r>
  <r>
    <s v="CA-2015-130792"/>
    <d v="2015-04-28T00:00:00"/>
    <x v="7"/>
    <x v="2"/>
    <s v="Houston"/>
    <x v="2"/>
    <s v="Akro-Mils 12-Gallon Tote"/>
    <x v="124"/>
    <n v="3"/>
    <n v="0.2"/>
    <n v="2.6810999999999998"/>
  </r>
  <r>
    <s v="CA-2015-130792"/>
    <d v="2015-04-28T00:00:00"/>
    <x v="7"/>
    <x v="2"/>
    <s v="Houston"/>
    <x v="2"/>
    <s v="GBC Twin Loop Wire Binding Elements, 9/16&quot; Spine, Black"/>
    <x v="125"/>
    <n v="4"/>
    <n v="0.8"/>
    <n v="-18.872800000000002"/>
  </r>
  <r>
    <s v="CA-2015-130883"/>
    <d v="2015-09-26T00:00:00"/>
    <x v="0"/>
    <x v="1"/>
    <s v="Portland"/>
    <x v="2"/>
    <s v="Easy-staple paper"/>
    <x v="126"/>
    <n v="5"/>
    <n v="0.2"/>
    <n v="47.844000000000001"/>
  </r>
  <r>
    <s v="CA-2015-130883"/>
    <d v="2015-09-26T00:00:00"/>
    <x v="0"/>
    <x v="1"/>
    <s v="Portland"/>
    <x v="0"/>
    <s v="Microsoft Arc Touch Mouse"/>
    <x v="127"/>
    <n v="5"/>
    <n v="0.2"/>
    <n v="47.96"/>
  </r>
  <r>
    <s v="CA-2015-130883"/>
    <d v="2015-09-26T00:00:00"/>
    <x v="0"/>
    <x v="1"/>
    <s v="Portland"/>
    <x v="2"/>
    <s v="Xerox 216"/>
    <x v="128"/>
    <n v="6"/>
    <n v="0.2"/>
    <n v="10.8864"/>
  </r>
  <r>
    <s v="CA-2015-130890"/>
    <d v="2015-11-02T00:00:00"/>
    <x v="2"/>
    <x v="1"/>
    <s v="Los Angeles"/>
    <x v="1"/>
    <s v="Bevis Round Bullnose 29&quot; High Table Top"/>
    <x v="129"/>
    <n v="5"/>
    <n v="0.2"/>
    <n v="51.942"/>
  </r>
  <r>
    <s v="CA-2015-131457"/>
    <d v="2015-10-31T00:00:00"/>
    <x v="4"/>
    <x v="1"/>
    <s v="Redlands"/>
    <x v="2"/>
    <s v="Poly String Tie Envelopes"/>
    <x v="130"/>
    <n v="7"/>
    <n v="0"/>
    <n v="6.7115999999999998"/>
  </r>
  <r>
    <s v="CA-2015-134782"/>
    <d v="2015-12-27T00:00:00"/>
    <x v="3"/>
    <x v="3"/>
    <s v="Fayetteville"/>
    <x v="2"/>
    <s v="Strathmore #10 Envelopes, Ultimate White"/>
    <x v="131"/>
    <n v="2"/>
    <n v="0"/>
    <n v="51.655799999999999"/>
  </r>
  <r>
    <s v="CA-2015-135545"/>
    <d v="2015-11-24T00:00:00"/>
    <x v="2"/>
    <x v="1"/>
    <s v="Los Angeles"/>
    <x v="0"/>
    <s v="Verbatim 25 GB 6x Blu-ray Single Layer Recordable Disc, 3/Pack"/>
    <x v="132"/>
    <n v="2"/>
    <n v="0"/>
    <n v="6.1512000000000002"/>
  </r>
  <r>
    <s v="CA-2015-135545"/>
    <d v="2015-11-24T00:00:00"/>
    <x v="2"/>
    <x v="1"/>
    <s v="Los Angeles"/>
    <x v="2"/>
    <s v="Acco PRESSTEX Data Binder with Storage Hooks, Dark Blue, 14 7/8&quot; X 11&quot;"/>
    <x v="133"/>
    <n v="6"/>
    <n v="0.2"/>
    <n v="9.3612000000000002"/>
  </r>
  <r>
    <s v="CA-2015-135545"/>
    <d v="2015-11-24T00:00:00"/>
    <x v="2"/>
    <x v="1"/>
    <s v="Los Angeles"/>
    <x v="2"/>
    <s v="Xerox 1943"/>
    <x v="134"/>
    <n v="3"/>
    <n v="0"/>
    <n v="68.963099999999997"/>
  </r>
  <r>
    <s v="CA-2015-135545"/>
    <d v="2015-11-24T00:00:00"/>
    <x v="2"/>
    <x v="1"/>
    <s v="Los Angeles"/>
    <x v="1"/>
    <s v="Luxo Economy Swing Arm Lamp"/>
    <x v="135"/>
    <n v="4"/>
    <n v="0"/>
    <n v="22.332799999999999"/>
  </r>
  <r>
    <s v="CA-2015-137225"/>
    <d v="2015-12-15T00:00:00"/>
    <x v="3"/>
    <x v="0"/>
    <s v="New York City"/>
    <x v="2"/>
    <s v="Sanford Colorific Eraseable Coloring Pencils, 12 Count"/>
    <x v="136"/>
    <n v="1"/>
    <n v="0"/>
    <n v="1.4104000000000001"/>
  </r>
  <r>
    <s v="CA-2015-137946"/>
    <d v="2015-09-01T00:00:00"/>
    <x v="0"/>
    <x v="1"/>
    <s v="Los Angeles"/>
    <x v="2"/>
    <s v="Storex Dura Pro Binders"/>
    <x v="137"/>
    <n v="1"/>
    <n v="0.2"/>
    <n v="1.6037999999999999"/>
  </r>
  <r>
    <s v="CA-2015-137946"/>
    <d v="2015-09-01T00:00:00"/>
    <x v="0"/>
    <x v="1"/>
    <s v="Los Angeles"/>
    <x v="0"/>
    <s v="Hewlett Packard LaserJet 3310 Copier"/>
    <x v="138"/>
    <n v="2"/>
    <n v="0.2"/>
    <n v="335.99439999999998"/>
  </r>
  <r>
    <s v="CA-2015-137946"/>
    <d v="2015-09-01T00:00:00"/>
    <x v="0"/>
    <x v="1"/>
    <s v="Los Angeles"/>
    <x v="2"/>
    <s v="Avery Non-Stick Binders"/>
    <x v="139"/>
    <n v="4"/>
    <n v="0.2"/>
    <n v="4.49"/>
  </r>
  <r>
    <s v="CA-2015-144253"/>
    <d v="2015-05-04T00:00:00"/>
    <x v="9"/>
    <x v="0"/>
    <s v="New York City"/>
    <x v="1"/>
    <s v="Electrix 20W Halogen Replacement Bulb for Zoom-In Desk Lamp"/>
    <x v="140"/>
    <n v="2"/>
    <n v="0"/>
    <n v="12.864000000000001"/>
  </r>
  <r>
    <s v="CA-2015-146262"/>
    <d v="2015-01-02T00:00:00"/>
    <x v="11"/>
    <x v="0"/>
    <s v="Medina"/>
    <x v="2"/>
    <s v="Avery 505"/>
    <x v="141"/>
    <n v="2"/>
    <n v="0.2"/>
    <n v="8.8800000000000008"/>
  </r>
  <r>
    <s v="CA-2015-146262"/>
    <d v="2015-01-02T00:00:00"/>
    <x v="11"/>
    <x v="0"/>
    <s v="Medina"/>
    <x v="1"/>
    <s v="O'Sullivan 2-Door Barrister Bookcase in Odessa Pine"/>
    <x v="142"/>
    <n v="5"/>
    <n v="0.5"/>
    <n v="-244.32300000000001"/>
  </r>
  <r>
    <s v="CA-2015-146262"/>
    <d v="2015-01-02T00:00:00"/>
    <x v="11"/>
    <x v="0"/>
    <s v="Medina"/>
    <x v="0"/>
    <s v="Speck Products Candyshell Flip Case"/>
    <x v="143"/>
    <n v="3"/>
    <n v="0.4"/>
    <n v="-14.6958"/>
  </r>
  <r>
    <s v="CA-2015-146262"/>
    <d v="2015-01-02T00:00:00"/>
    <x v="11"/>
    <x v="0"/>
    <s v="Medina"/>
    <x v="0"/>
    <s v="Cisco 9971 IP Video Phone Charcoal"/>
    <x v="144"/>
    <n v="9"/>
    <n v="0.7"/>
    <n v="-950.4"/>
  </r>
  <r>
    <s v="CA-2015-146262"/>
    <d v="2015-01-02T00:00:00"/>
    <x v="11"/>
    <x v="0"/>
    <s v="Medina"/>
    <x v="0"/>
    <s v="Sony Micro Vault Click 16 GB USB 2.0 Flash Drive"/>
    <x v="145"/>
    <n v="2"/>
    <n v="0.2"/>
    <n v="4.4791999999999996"/>
  </r>
  <r>
    <s v="CA-2015-149587"/>
    <d v="2015-01-31T00:00:00"/>
    <x v="11"/>
    <x v="2"/>
    <s v="Minneapolis"/>
    <x v="2"/>
    <s v="Xerox 1999"/>
    <x v="146"/>
    <n v="2"/>
    <n v="0"/>
    <n v="6.2207999999999997"/>
  </r>
  <r>
    <s v="CA-2015-149587"/>
    <d v="2015-01-31T00:00:00"/>
    <x v="11"/>
    <x v="2"/>
    <s v="Minneapolis"/>
    <x v="1"/>
    <s v="Seth Thomas 13 1/2&quot; Wall Clock"/>
    <x v="147"/>
    <n v="3"/>
    <n v="0"/>
    <n v="16.535399999999999"/>
  </r>
  <r>
    <s v="CA-2015-149587"/>
    <d v="2015-01-31T00:00:00"/>
    <x v="11"/>
    <x v="2"/>
    <s v="Minneapolis"/>
    <x v="2"/>
    <s v="Ibico Standard Transparent Covers"/>
    <x v="148"/>
    <n v="2"/>
    <n v="0"/>
    <n v="16.150400000000001"/>
  </r>
  <r>
    <s v="CA-2015-149734"/>
    <d v="2015-09-03T00:00:00"/>
    <x v="0"/>
    <x v="3"/>
    <s v="Durham"/>
    <x v="2"/>
    <s v="Jet-Pak Recycled Peel 'N' Seal Padded Mailers"/>
    <x v="149"/>
    <n v="7"/>
    <n v="0.2"/>
    <n v="62.807499999999997"/>
  </r>
  <r>
    <s v="CA-2015-154144"/>
    <d v="2015-12-20T00:00:00"/>
    <x v="3"/>
    <x v="0"/>
    <s v="Lindenhurst"/>
    <x v="2"/>
    <s v="Eaton Premium Continuous-Feed Paper, 25% Cotton, Letter Size, White, 1000 Shts/Box"/>
    <x v="150"/>
    <n v="1"/>
    <n v="0"/>
    <n v="26.630400000000002"/>
  </r>
  <r>
    <s v="CA-2015-155040"/>
    <d v="2015-11-10T00:00:00"/>
    <x v="2"/>
    <x v="1"/>
    <s v="Brentwood"/>
    <x v="0"/>
    <s v="Microsoft Sculpt Comfort Mouse"/>
    <x v="151"/>
    <n v="2"/>
    <n v="0"/>
    <n v="35.155999999999999"/>
  </r>
  <r>
    <s v="CA-2015-155334"/>
    <d v="2015-07-30T00:00:00"/>
    <x v="8"/>
    <x v="1"/>
    <s v="San Francisco"/>
    <x v="0"/>
    <s v="Logitech 910-002974 M325 Wireless Mouse for Web Scrolling"/>
    <x v="152"/>
    <n v="7"/>
    <n v="0"/>
    <n v="92.369200000000006"/>
  </r>
  <r>
    <s v="CA-2015-155334"/>
    <d v="2015-07-30T00:00:00"/>
    <x v="8"/>
    <x v="1"/>
    <s v="San Francisco"/>
    <x v="1"/>
    <s v="Regeneration Desk Collection"/>
    <x v="153"/>
    <n v="3"/>
    <n v="0"/>
    <n v="2.3231999999999999"/>
  </r>
  <r>
    <s v="CA-2015-155334"/>
    <d v="2015-07-30T00:00:00"/>
    <x v="8"/>
    <x v="1"/>
    <s v="San Francisco"/>
    <x v="2"/>
    <s v="Presstex Flexible Ring Binders"/>
    <x v="154"/>
    <n v="3"/>
    <n v="0.2"/>
    <n v="4.0949999999999998"/>
  </r>
  <r>
    <s v="CA-2015-163055"/>
    <d v="2015-08-09T00:00:00"/>
    <x v="6"/>
    <x v="2"/>
    <s v="Detroit"/>
    <x v="2"/>
    <s v="Sanford Uni-Blazer View Highlighters, Chisel Tip, Yellow"/>
    <x v="155"/>
    <n v="1"/>
    <n v="0"/>
    <n v="0.96799999999999997"/>
  </r>
  <r>
    <s v="CA-2015-163055"/>
    <d v="2015-08-09T00:00:00"/>
    <x v="6"/>
    <x v="2"/>
    <s v="Detroit"/>
    <x v="1"/>
    <s v="Bevis 36 x 72 Conference Tables"/>
    <x v="156"/>
    <n v="5"/>
    <n v="0"/>
    <n v="136.93899999999999"/>
  </r>
  <r>
    <s v="CA-2015-163055"/>
    <d v="2015-08-09T00:00:00"/>
    <x v="6"/>
    <x v="2"/>
    <s v="Detroit"/>
    <x v="2"/>
    <s v="Rogers Deluxe File Chest"/>
    <x v="157"/>
    <n v="1"/>
    <n v="0"/>
    <n v="0.2198"/>
  </r>
  <r>
    <s v="CA-2015-169397"/>
    <d v="2015-12-24T00:00:00"/>
    <x v="3"/>
    <x v="0"/>
    <s v="Dublin"/>
    <x v="2"/>
    <s v="OIC Bulk Pack Metal Binder Clips"/>
    <x v="158"/>
    <n v="2"/>
    <n v="0.2"/>
    <n v="1.8148"/>
  </r>
  <r>
    <s v="CA-2015-169397"/>
    <d v="2015-12-24T00:00:00"/>
    <x v="3"/>
    <x v="0"/>
    <s v="Dublin"/>
    <x v="2"/>
    <s v="While You Were Out Pads, 50 per Pad, 4 x 5 1/4, Green Cycle"/>
    <x v="159"/>
    <n v="6"/>
    <n v="0.2"/>
    <n v="8.2302"/>
  </r>
  <r>
    <s v="CA-2015-169397"/>
    <d v="2015-12-24T00:00:00"/>
    <x v="3"/>
    <x v="0"/>
    <s v="Dublin"/>
    <x v="2"/>
    <s v="Ibico Standard Transparent Covers"/>
    <x v="160"/>
    <n v="4"/>
    <n v="0.7"/>
    <n v="-13.8432"/>
  </r>
  <r>
    <s v="CA-2015-169397"/>
    <d v="2015-12-24T00:00:00"/>
    <x v="3"/>
    <x v="0"/>
    <s v="Dublin"/>
    <x v="1"/>
    <s v="Executive Impressions 14&quot; Two-Color Numerals Wall Clock"/>
    <x v="161"/>
    <n v="4"/>
    <n v="0.2"/>
    <n v="19.084800000000001"/>
  </r>
  <r>
    <s v="CA-2015-169397"/>
    <d v="2015-12-24T00:00:00"/>
    <x v="3"/>
    <x v="0"/>
    <s v="Dublin"/>
    <x v="0"/>
    <s v="Swingline SM12-08 MicroCut Jam Free Shredder"/>
    <x v="162"/>
    <n v="4"/>
    <n v="0.7"/>
    <n v="-383.99040000000002"/>
  </r>
  <r>
    <s v="CA-2015-169397"/>
    <d v="2015-12-24T00:00:00"/>
    <x v="3"/>
    <x v="0"/>
    <s v="Dublin"/>
    <x v="2"/>
    <s v="Stanley Bostitch Contemporary Electric Pencil Sharpeners"/>
    <x v="163"/>
    <n v="2"/>
    <n v="0.2"/>
    <n v="2.7168000000000001"/>
  </r>
  <r>
    <s v="CA-2016-100153"/>
    <d v="2016-12-13T00:00:00"/>
    <x v="3"/>
    <x v="2"/>
    <s v="Norman"/>
    <x v="0"/>
    <s v="Memorex Mini Travel Drive 16 GB USB 2.0 Flash Drive"/>
    <x v="164"/>
    <n v="4"/>
    <n v="0"/>
    <n v="24.9132"/>
  </r>
  <r>
    <s v="CA-2016-100790"/>
    <d v="2016-06-26T00:00:00"/>
    <x v="5"/>
    <x v="0"/>
    <s v="New York City"/>
    <x v="2"/>
    <s v="Prang Colored Pencils"/>
    <x v="165"/>
    <n v="5"/>
    <n v="0"/>
    <n v="6.6150000000000002"/>
  </r>
  <r>
    <s v="CA-2016-100790"/>
    <d v="2016-06-26T00:00:00"/>
    <x v="5"/>
    <x v="0"/>
    <s v="New York City"/>
    <x v="2"/>
    <s v="Fellowes Strictly Business Drawer File, Letter/Legal Size"/>
    <x v="166"/>
    <n v="5"/>
    <n v="0"/>
    <n v="84.51"/>
  </r>
  <r>
    <s v="CA-2016-101343"/>
    <d v="2016-07-17T00:00:00"/>
    <x v="8"/>
    <x v="1"/>
    <s v="Los Angeles"/>
    <x v="2"/>
    <s v="Eldon Base for stackable storage shelf, platinum"/>
    <x v="167"/>
    <n v="2"/>
    <n v="0"/>
    <n v="3.8940000000000001"/>
  </r>
  <r>
    <s v="CA-2016-103730"/>
    <d v="2016-06-12T00:00:00"/>
    <x v="5"/>
    <x v="0"/>
    <s v="Wilmington"/>
    <x v="1"/>
    <s v="Artistic Insta-Plaque"/>
    <x v="168"/>
    <n v="3"/>
    <n v="0"/>
    <n v="18.345600000000001"/>
  </r>
  <r>
    <s v="CA-2016-103730"/>
    <d v="2016-06-12T00:00:00"/>
    <x v="5"/>
    <x v="0"/>
    <s v="Wilmington"/>
    <x v="2"/>
    <s v="DXL Angle-View Binders with Locking Rings by Samsill"/>
    <x v="169"/>
    <n v="4"/>
    <n v="0"/>
    <n v="13.878"/>
  </r>
  <r>
    <s v="CA-2016-103730"/>
    <d v="2016-06-12T00:00:00"/>
    <x v="5"/>
    <x v="0"/>
    <s v="Wilmington"/>
    <x v="2"/>
    <s v="Companion Letter/Legal File, Black"/>
    <x v="170"/>
    <n v="6"/>
    <n v="0"/>
    <n v="63.436799999999998"/>
  </r>
  <r>
    <s v="CA-2016-103730"/>
    <d v="2016-06-12T00:00:00"/>
    <x v="5"/>
    <x v="0"/>
    <s v="Wilmington"/>
    <x v="2"/>
    <s v="Globe Weis Peel &amp; Seel First Class Envelopes"/>
    <x v="171"/>
    <n v="9"/>
    <n v="0"/>
    <n v="51.759"/>
  </r>
  <r>
    <s v="CA-2016-103730"/>
    <d v="2016-06-12T00:00:00"/>
    <x v="5"/>
    <x v="0"/>
    <s v="Wilmington"/>
    <x v="0"/>
    <s v="KLD Oscar II Style Snap-on Ultra Thin Side Flip Synthetic Leather Cover Case for HTC One HTC M7"/>
    <x v="172"/>
    <n v="7"/>
    <n v="0"/>
    <n v="19.7316"/>
  </r>
  <r>
    <s v="CA-2016-103891"/>
    <d v="2016-07-12T00:00:00"/>
    <x v="8"/>
    <x v="1"/>
    <s v="Los Angeles"/>
    <x v="0"/>
    <s v="Cisco SPA525G2 IP Phone - Wireless"/>
    <x v="173"/>
    <n v="6"/>
    <n v="0.2"/>
    <n v="7.1820000000000004"/>
  </r>
  <r>
    <s v="CA-2016-105018"/>
    <d v="2016-11-28T00:00:00"/>
    <x v="2"/>
    <x v="0"/>
    <s v="Fairfield"/>
    <x v="2"/>
    <s v="Avery Poly Binder Pockets"/>
    <x v="77"/>
    <n v="2"/>
    <n v="0"/>
    <n v="3.4367999999999999"/>
  </r>
  <r>
    <s v="CA-2016-105816"/>
    <d v="2016-12-11T00:00:00"/>
    <x v="3"/>
    <x v="0"/>
    <s v="New York City"/>
    <x v="2"/>
    <s v="Advantus Push Pins"/>
    <x v="174"/>
    <n v="7"/>
    <n v="0"/>
    <n v="6.2565999999999997"/>
  </r>
  <r>
    <s v="CA-2016-105816"/>
    <d v="2016-12-11T00:00:00"/>
    <x v="3"/>
    <x v="0"/>
    <s v="New York City"/>
    <x v="0"/>
    <s v="AT&amp;T CL83451 4-Handset Telephone"/>
    <x v="175"/>
    <n v="5"/>
    <n v="0"/>
    <n v="298.68549999999999"/>
  </r>
  <r>
    <s v="CA-2016-106075"/>
    <d v="2016-09-18T00:00:00"/>
    <x v="0"/>
    <x v="0"/>
    <s v="New York City"/>
    <x v="2"/>
    <s v="Avery Binding System Hidden Tab Executive Style Index Sets"/>
    <x v="176"/>
    <n v="1"/>
    <n v="0.2"/>
    <n v="1.7310000000000001"/>
  </r>
  <r>
    <s v="CA-2016-108987"/>
    <d v="2016-09-08T00:00:00"/>
    <x v="0"/>
    <x v="2"/>
    <s v="Houston"/>
    <x v="2"/>
    <s v="Super Decoflex Portable Personal File"/>
    <x v="177"/>
    <n v="3"/>
    <n v="0.2"/>
    <n v="3.5952000000000002"/>
  </r>
  <r>
    <s v="CA-2016-108987"/>
    <d v="2016-09-08T00:00:00"/>
    <x v="0"/>
    <x v="2"/>
    <s v="Houston"/>
    <x v="1"/>
    <s v="Riverside Palais Royal Lawyers Bookcase, Royale Cherry Finish"/>
    <x v="178"/>
    <n v="4"/>
    <n v="0.32"/>
    <n v="-317.15280000000001"/>
  </r>
  <r>
    <s v="CA-2016-108987"/>
    <d v="2016-09-08T00:00:00"/>
    <x v="0"/>
    <x v="2"/>
    <s v="Houston"/>
    <x v="2"/>
    <s v="Contico 72&quot;H Heavy-Duty Storage System"/>
    <x v="179"/>
    <n v="4"/>
    <n v="0.2"/>
    <n v="-32.783999999999999"/>
  </r>
  <r>
    <s v="CA-2016-108987"/>
    <d v="2016-09-08T00:00:00"/>
    <x v="0"/>
    <x v="2"/>
    <s v="Houston"/>
    <x v="0"/>
    <s v="Sony 64GB Class 10 Micro SDHC R40 Memory Card"/>
    <x v="180"/>
    <n v="2"/>
    <n v="0.2"/>
    <n v="0.7198"/>
  </r>
  <r>
    <s v="CA-2016-109806"/>
    <d v="2016-09-17T00:00:00"/>
    <x v="0"/>
    <x v="1"/>
    <s v="Los Angeles"/>
    <x v="2"/>
    <s v="Turquoise Lead Holder with Pocket Clip"/>
    <x v="181"/>
    <n v="3"/>
    <n v="0"/>
    <n v="6.633"/>
  </r>
  <r>
    <s v="CA-2016-109806"/>
    <d v="2016-09-17T00:00:00"/>
    <x v="0"/>
    <x v="1"/>
    <s v="Los Angeles"/>
    <x v="0"/>
    <s v="Panasonic Kx-TS550"/>
    <x v="182"/>
    <n v="2"/>
    <n v="0.2"/>
    <n v="8.2782"/>
  </r>
  <r>
    <s v="CA-2016-109806"/>
    <d v="2016-09-17T00:00:00"/>
    <x v="0"/>
    <x v="1"/>
    <s v="Los Angeles"/>
    <x v="2"/>
    <s v="Xerox 1995"/>
    <x v="183"/>
    <n v="1"/>
    <n v="0"/>
    <n v="3.1103999999999998"/>
  </r>
  <r>
    <s v="CA-2016-109869"/>
    <d v="2016-04-22T00:00:00"/>
    <x v="7"/>
    <x v="1"/>
    <s v="Phoenix"/>
    <x v="1"/>
    <s v="Eldon Wave Desk Accessories"/>
    <x v="184"/>
    <n v="5"/>
    <n v="0.2"/>
    <n v="7.0679999999999996"/>
  </r>
  <r>
    <s v="CA-2016-109869"/>
    <d v="2016-04-22T00:00:00"/>
    <x v="7"/>
    <x v="1"/>
    <s v="Phoenix"/>
    <x v="1"/>
    <s v="Bush Advantage Collection Racetrack Conference Table"/>
    <x v="185"/>
    <n v="6"/>
    <n v="0.5"/>
    <n v="-814.48320000000001"/>
  </r>
  <r>
    <s v="CA-2016-109869"/>
    <d v="2016-04-22T00:00:00"/>
    <x v="7"/>
    <x v="1"/>
    <s v="Phoenix"/>
    <x v="2"/>
    <s v="Poly Designer Cover &amp; Back"/>
    <x v="186"/>
    <n v="5"/>
    <n v="0.7"/>
    <n v="-20.888999999999999"/>
  </r>
  <r>
    <s v="CA-2016-109869"/>
    <d v="2016-04-22T00:00:00"/>
    <x v="7"/>
    <x v="1"/>
    <s v="Phoenix"/>
    <x v="2"/>
    <s v="Premier Electric Letter Opener"/>
    <x v="187"/>
    <n v="2"/>
    <n v="0.2"/>
    <n v="-34.758000000000003"/>
  </r>
  <r>
    <s v="CA-2016-109869"/>
    <d v="2016-04-22T00:00:00"/>
    <x v="7"/>
    <x v="1"/>
    <s v="Phoenix"/>
    <x v="2"/>
    <s v="Fellowes Premier Superior Surge Suppressor, 10-Outlet, With Phone and Remote"/>
    <x v="188"/>
    <n v="2"/>
    <n v="0.2"/>
    <n v="5.8704000000000001"/>
  </r>
  <r>
    <s v="CA-2016-110366"/>
    <d v="2016-09-05T00:00:00"/>
    <x v="0"/>
    <x v="0"/>
    <s v="Philadelphia"/>
    <x v="1"/>
    <s v="Howard Miller 13-3/4&quot; Diameter Brushed Chrome Round Wall Clock"/>
    <x v="189"/>
    <n v="2"/>
    <n v="0.2"/>
    <n v="10.35"/>
  </r>
  <r>
    <s v="CA-2016-110772"/>
    <d v="2016-11-20T00:00:00"/>
    <x v="2"/>
    <x v="0"/>
    <s v="Columbus"/>
    <x v="2"/>
    <s v="Advantus SlideClip Paper Clips"/>
    <x v="190"/>
    <n v="7"/>
    <n v="0.2"/>
    <n v="6.6836000000000002"/>
  </r>
  <r>
    <s v="CA-2016-110772"/>
    <d v="2016-11-20T00:00:00"/>
    <x v="2"/>
    <x v="0"/>
    <s v="Columbus"/>
    <x v="2"/>
    <s v="Avery 512"/>
    <x v="191"/>
    <n v="8"/>
    <n v="0.2"/>
    <n v="6.2423999999999999"/>
  </r>
  <r>
    <s v="CA-2016-110772"/>
    <d v="2016-11-20T00:00:00"/>
    <x v="2"/>
    <x v="0"/>
    <s v="Columbus"/>
    <x v="0"/>
    <s v="Logitech Wireless Gaming Headset G930"/>
    <x v="192"/>
    <n v="2"/>
    <n v="0.2"/>
    <n v="54.396599999999999"/>
  </r>
  <r>
    <s v="CA-2016-110772"/>
    <d v="2016-11-20T00:00:00"/>
    <x v="2"/>
    <x v="0"/>
    <s v="Columbus"/>
    <x v="1"/>
    <s v="Bush Westfield Collection Bookcases, Medium Cherry Finish"/>
    <x v="193"/>
    <n v="3"/>
    <n v="0.5"/>
    <n v="-48.703200000000002"/>
  </r>
  <r>
    <s v="CA-2016-111010"/>
    <d v="2016-01-22T00:00:00"/>
    <x v="11"/>
    <x v="0"/>
    <s v="Morristown"/>
    <x v="2"/>
    <s v="Bagged Rubber Bands"/>
    <x v="194"/>
    <n v="6"/>
    <n v="0"/>
    <n v="0.3024"/>
  </r>
  <r>
    <s v="CA-2016-111682"/>
    <d v="2016-06-17T00:00:00"/>
    <x v="5"/>
    <x v="0"/>
    <s v="Troy"/>
    <x v="2"/>
    <s v="Home/Office Personal File Carts"/>
    <x v="195"/>
    <n v="6"/>
    <n v="0"/>
    <n v="52.14"/>
  </r>
  <r>
    <s v="CA-2016-111682"/>
    <d v="2016-06-17T00:00:00"/>
    <x v="5"/>
    <x v="0"/>
    <s v="Troy"/>
    <x v="2"/>
    <s v="Xerox 232"/>
    <x v="196"/>
    <n v="5"/>
    <n v="0"/>
    <n v="15.552"/>
  </r>
  <r>
    <s v="CA-2016-111682"/>
    <d v="2016-06-17T00:00:00"/>
    <x v="5"/>
    <x v="0"/>
    <s v="Troy"/>
    <x v="1"/>
    <s v="Novimex Turbo Task Chair"/>
    <x v="197"/>
    <n v="5"/>
    <n v="0.1"/>
    <n v="7.0979999999999999"/>
  </r>
  <r>
    <s v="CA-2016-111682"/>
    <d v="2016-06-17T00:00:00"/>
    <x v="5"/>
    <x v="0"/>
    <s v="Troy"/>
    <x v="2"/>
    <s v="Array Parchment Paper, Assorted Colors"/>
    <x v="198"/>
    <n v="2"/>
    <n v="0"/>
    <n v="6.9888000000000003"/>
  </r>
  <r>
    <s v="CA-2016-111682"/>
    <d v="2016-06-17T00:00:00"/>
    <x v="5"/>
    <x v="0"/>
    <s v="Troy"/>
    <x v="0"/>
    <s v="ImationÂ 8gb Micro Traveldrive Usb 2.0Â Flash Drive"/>
    <x v="199"/>
    <n v="2"/>
    <n v="0"/>
    <n v="3.3"/>
  </r>
  <r>
    <s v="CA-2016-111682"/>
    <d v="2016-06-17T00:00:00"/>
    <x v="5"/>
    <x v="0"/>
    <s v="Troy"/>
    <x v="2"/>
    <s v="Plastic Binding Combs"/>
    <x v="200"/>
    <n v="4"/>
    <n v="0.2"/>
    <n v="16.361999999999998"/>
  </r>
  <r>
    <s v="CA-2016-111682"/>
    <d v="2016-06-17T00:00:00"/>
    <x v="5"/>
    <x v="0"/>
    <s v="Troy"/>
    <x v="2"/>
    <s v="Prang Dustless Chalk Sticks"/>
    <x v="201"/>
    <n v="1"/>
    <n v="0"/>
    <n v="0.84"/>
  </r>
  <r>
    <s v="CA-2016-112697"/>
    <d v="2016-12-18T00:00:00"/>
    <x v="3"/>
    <x v="3"/>
    <s v="Tamarac"/>
    <x v="2"/>
    <s v="GBC VeloBinder Electric Binding Machine"/>
    <x v="202"/>
    <n v="7"/>
    <n v="0.7"/>
    <n v="-169.37200000000001"/>
  </r>
  <r>
    <s v="CA-2016-112697"/>
    <d v="2016-12-18T00:00:00"/>
    <x v="3"/>
    <x v="3"/>
    <s v="Tamarac"/>
    <x v="2"/>
    <s v="Acco 7-Outlet Masterpiece Power Center, Wihtout Fax/Phone Line Protection"/>
    <x v="203"/>
    <n v="2"/>
    <n v="0.2"/>
    <n v="24.315999999999999"/>
  </r>
  <r>
    <s v="CA-2016-112697"/>
    <d v="2016-12-18T00:00:00"/>
    <x v="3"/>
    <x v="3"/>
    <s v="Tamarac"/>
    <x v="2"/>
    <s v="Premier Automatic Letter Opener"/>
    <x v="204"/>
    <n v="5"/>
    <n v="0.2"/>
    <n v="-204.31450000000001"/>
  </r>
  <r>
    <s v="CA-2016-113817"/>
    <d v="2016-11-07T00:00:00"/>
    <x v="2"/>
    <x v="1"/>
    <s v="Seattle"/>
    <x v="2"/>
    <s v="Wilson Jones International Size A4 Ring Binders"/>
    <x v="205"/>
    <n v="2"/>
    <n v="0.2"/>
    <n v="9.6880000000000006"/>
  </r>
  <r>
    <s v="CA-2016-114104"/>
    <d v="2016-11-20T00:00:00"/>
    <x v="2"/>
    <x v="2"/>
    <s v="Edmond"/>
    <x v="2"/>
    <s v="Avery 519"/>
    <x v="206"/>
    <n v="2"/>
    <n v="0"/>
    <n v="6.8714000000000004"/>
  </r>
  <r>
    <s v="CA-2016-114104"/>
    <d v="2016-11-20T00:00:00"/>
    <x v="2"/>
    <x v="2"/>
    <s v="Edmond"/>
    <x v="0"/>
    <s v="Avaya 5420 Digital phone"/>
    <x v="207"/>
    <n v="7"/>
    <n v="0"/>
    <n v="236.23249999999999"/>
  </r>
  <r>
    <s v="CA-2016-114489"/>
    <d v="2016-12-05T00:00:00"/>
    <x v="3"/>
    <x v="2"/>
    <s v="Franklin"/>
    <x v="0"/>
    <s v="Plantronics CordlessÂ Phone HeadsetÂ with In-line Volume - M214C"/>
    <x v="208"/>
    <n v="11"/>
    <n v="0"/>
    <n v="103.8015"/>
  </r>
  <r>
    <s v="CA-2016-114489"/>
    <d v="2016-12-05T00:00:00"/>
    <x v="3"/>
    <x v="2"/>
    <s v="Franklin"/>
    <x v="0"/>
    <s v="Anker Astro 15000mAh USB Portable Charger"/>
    <x v="209"/>
    <n v="3"/>
    <n v="0"/>
    <n v="5.9988000000000001"/>
  </r>
  <r>
    <s v="CA-2016-114489"/>
    <d v="2016-12-05T00:00:00"/>
    <x v="3"/>
    <x v="2"/>
    <s v="Franklin"/>
    <x v="1"/>
    <s v="Hon Deluxe Fabric Upholstered Stacking Chairs, Rounded Back"/>
    <x v="210"/>
    <n v="8"/>
    <n v="0"/>
    <n v="585.55200000000002"/>
  </r>
  <r>
    <s v="CA-2016-114489"/>
    <d v="2016-12-05T00:00:00"/>
    <x v="3"/>
    <x v="2"/>
    <s v="Franklin"/>
    <x v="2"/>
    <s v="GBC Prestige Therm-A-Bind Covers"/>
    <x v="211"/>
    <n v="5"/>
    <n v="0"/>
    <n v="80.628500000000003"/>
  </r>
  <r>
    <s v="CA-2016-115756"/>
    <d v="2016-09-05T00:00:00"/>
    <x v="0"/>
    <x v="2"/>
    <s v="Detroit"/>
    <x v="1"/>
    <s v="Aluminum Document Frame"/>
    <x v="212"/>
    <n v="1"/>
    <n v="0"/>
    <n v="3.6659999999999999"/>
  </r>
  <r>
    <s v="CA-2016-115756"/>
    <d v="2016-09-05T00:00:00"/>
    <x v="0"/>
    <x v="2"/>
    <s v="Detroit"/>
    <x v="2"/>
    <s v="Fellowes Bankers Box Staxonsteel Drawer File/Stacking System"/>
    <x v="213"/>
    <n v="3"/>
    <n v="0"/>
    <n v="23.392800000000001"/>
  </r>
  <r>
    <s v="CA-2016-115756"/>
    <d v="2016-09-05T00:00:00"/>
    <x v="0"/>
    <x v="2"/>
    <s v="Detroit"/>
    <x v="2"/>
    <s v="Eldon Mobile Mega Data Cart  Mega Stackable  Add-On Trays"/>
    <x v="214"/>
    <n v="3"/>
    <n v="0"/>
    <n v="20.575500000000002"/>
  </r>
  <r>
    <s v="CA-2016-115756"/>
    <d v="2016-09-05T00:00:00"/>
    <x v="0"/>
    <x v="2"/>
    <s v="Detroit"/>
    <x v="2"/>
    <s v="Xerox Color Copier Paper, 11&quot; x 17&quot;, Ream"/>
    <x v="215"/>
    <n v="4"/>
    <n v="0"/>
    <n v="42.025599999999997"/>
  </r>
  <r>
    <s v="CA-2016-115756"/>
    <d v="2016-09-05T00:00:00"/>
    <x v="0"/>
    <x v="2"/>
    <s v="Detroit"/>
    <x v="1"/>
    <s v="Office Star - Ergonomically Designed Knee Chair"/>
    <x v="216"/>
    <n v="3"/>
    <n v="0"/>
    <n v="29.152799999999999"/>
  </r>
  <r>
    <s v="CA-2016-115756"/>
    <d v="2016-09-05T00:00:00"/>
    <x v="0"/>
    <x v="2"/>
    <s v="Detroit"/>
    <x v="2"/>
    <s v="Avery 520"/>
    <x v="217"/>
    <n v="7"/>
    <n v="0"/>
    <n v="10.584"/>
  </r>
  <r>
    <s v="CA-2016-117590"/>
    <d v="2016-12-08T00:00:00"/>
    <x v="3"/>
    <x v="2"/>
    <s v="Richardson"/>
    <x v="0"/>
    <s v="GE 30524EE4"/>
    <x v="218"/>
    <n v="7"/>
    <n v="0.2"/>
    <n v="123.47369999999999"/>
  </r>
  <r>
    <s v="CA-2016-117590"/>
    <d v="2016-12-08T00:00:00"/>
    <x v="3"/>
    <x v="2"/>
    <s v="Richardson"/>
    <x v="1"/>
    <s v="Electrix Architect's Clamp-On Swing Arm Lamp, Black"/>
    <x v="219"/>
    <n v="5"/>
    <n v="0.6"/>
    <n v="-147.96299999999999"/>
  </r>
  <r>
    <s v="CA-2016-118255"/>
    <d v="2016-03-11T00:00:00"/>
    <x v="1"/>
    <x v="2"/>
    <s v="Eagan"/>
    <x v="0"/>
    <s v="Verbatim 25 GB 6x Blu-ray Single Layer Recordable Disc, 25/Pack"/>
    <x v="220"/>
    <n v="2"/>
    <n v="0"/>
    <n v="19.7714"/>
  </r>
  <r>
    <s v="CA-2016-118255"/>
    <d v="2016-03-11T00:00:00"/>
    <x v="1"/>
    <x v="2"/>
    <s v="Eagan"/>
    <x v="2"/>
    <s v="Wilson Jones Leather-Like Binders with DublLock Round Rings"/>
    <x v="221"/>
    <n v="2"/>
    <n v="0"/>
    <n v="8.2062000000000008"/>
  </r>
  <r>
    <s v="CA-2016-119823"/>
    <d v="2016-06-04T00:00:00"/>
    <x v="5"/>
    <x v="3"/>
    <s v="Springfield"/>
    <x v="2"/>
    <s v="Snap-A-Way Black Print Carbonless Ruled Speed Letter, Triplicate"/>
    <x v="222"/>
    <n v="2"/>
    <n v="0"/>
    <n v="35.663600000000002"/>
  </r>
  <r>
    <s v="CA-2016-121755"/>
    <d v="2016-01-16T00:00:00"/>
    <x v="11"/>
    <x v="1"/>
    <s v="Los Angeles"/>
    <x v="2"/>
    <s v="Wilson Jones Active Use Binders"/>
    <x v="223"/>
    <n v="2"/>
    <n v="0.2"/>
    <n v="4.2224000000000004"/>
  </r>
  <r>
    <s v="CA-2016-121755"/>
    <d v="2016-01-16T00:00:00"/>
    <x v="11"/>
    <x v="1"/>
    <s v="Los Angeles"/>
    <x v="0"/>
    <s v="ImationÂ 8GB Mini TravelDrive USB 2.0Â Flash Drive"/>
    <x v="224"/>
    <n v="3"/>
    <n v="0"/>
    <n v="11.774100000000001"/>
  </r>
  <r>
    <s v="CA-2016-125318"/>
    <d v="2016-06-06T00:00:00"/>
    <x v="5"/>
    <x v="2"/>
    <s v="Chicago"/>
    <x v="0"/>
    <s v="Cisco Small Business SPA 502G VoIP phone"/>
    <x v="225"/>
    <n v="4"/>
    <n v="0.2"/>
    <n v="28.7196"/>
  </r>
  <r>
    <s v="CA-2016-126158"/>
    <d v="2016-07-25T00:00:00"/>
    <x v="8"/>
    <x v="1"/>
    <s v="Costa Mesa"/>
    <x v="2"/>
    <s v="Clear Mylar Reinforcing Strips"/>
    <x v="226"/>
    <n v="8"/>
    <n v="0.2"/>
    <n v="40.370399999999997"/>
  </r>
  <r>
    <s v="CA-2016-126158"/>
    <d v="2016-07-25T00:00:00"/>
    <x v="8"/>
    <x v="1"/>
    <s v="Costa Mesa"/>
    <x v="1"/>
    <s v="Howard Miller 14-1/2&quot; Diameter Chrome Round Wall Clock"/>
    <x v="227"/>
    <n v="4"/>
    <n v="0"/>
    <n v="81.843199999999996"/>
  </r>
  <r>
    <s v="CA-2016-126158"/>
    <d v="2016-07-25T00:00:00"/>
    <x v="8"/>
    <x v="1"/>
    <s v="Costa Mesa"/>
    <x v="1"/>
    <s v="DMI Arturo Collection Mission-style Design Wood Chair"/>
    <x v="228"/>
    <n v="2"/>
    <n v="0.2"/>
    <n v="18.117599999999999"/>
  </r>
  <r>
    <s v="CA-2016-126158"/>
    <d v="2016-07-25T00:00:00"/>
    <x v="8"/>
    <x v="1"/>
    <s v="Costa Mesa"/>
    <x v="1"/>
    <s v="Deflect-O Glasstique Clear Desk Accessories"/>
    <x v="229"/>
    <n v="9"/>
    <n v="0"/>
    <n v="22.869"/>
  </r>
  <r>
    <s v="CA-2016-127208"/>
    <d v="2016-06-12T00:00:00"/>
    <x v="5"/>
    <x v="3"/>
    <s v="Decatur"/>
    <x v="2"/>
    <s v="1.7 Cubic Foot Compact &quot;Cube&quot; Office Refrigerators"/>
    <x v="230"/>
    <n v="1"/>
    <n v="0"/>
    <n v="56.203200000000002"/>
  </r>
  <r>
    <s v="CA-2016-127208"/>
    <d v="2016-06-12T00:00:00"/>
    <x v="5"/>
    <x v="3"/>
    <s v="Decatur"/>
    <x v="2"/>
    <s v="Avery Heavy-Duty EZD  Binder With Locking Rings"/>
    <x v="231"/>
    <n v="3"/>
    <n v="0"/>
    <n v="8.0351999999999997"/>
  </r>
  <r>
    <s v="CA-2016-127369"/>
    <d v="2016-06-06T00:00:00"/>
    <x v="5"/>
    <x v="0"/>
    <s v="Lowell"/>
    <x v="2"/>
    <s v="Letter Size Cart"/>
    <x v="232"/>
    <n v="5"/>
    <n v="0"/>
    <n v="207.14699999999999"/>
  </r>
  <r>
    <s v="CA-2016-128867"/>
    <d v="2016-11-03T00:00:00"/>
    <x v="2"/>
    <x v="2"/>
    <s v="Urbandale"/>
    <x v="2"/>
    <s v="Hunt PowerHouse Electric Pencil Sharpener, Blue"/>
    <x v="233"/>
    <n v="2"/>
    <n v="0"/>
    <n v="22.788"/>
  </r>
  <r>
    <s v="CA-2016-128867"/>
    <d v="2016-11-03T00:00:00"/>
    <x v="2"/>
    <x v="2"/>
    <s v="Urbandale"/>
    <x v="2"/>
    <s v="Avery Durable Plastic 1&quot; Binders"/>
    <x v="234"/>
    <n v="6"/>
    <n v="0"/>
    <n v="13.3476"/>
  </r>
  <r>
    <s v="CA-2016-129714"/>
    <d v="2016-09-01T00:00:00"/>
    <x v="0"/>
    <x v="0"/>
    <s v="New York City"/>
    <x v="0"/>
    <s v="Sabrent 4-Port USB 2.0 Hub"/>
    <x v="235"/>
    <n v="1"/>
    <n v="0"/>
    <n v="2.3086000000000002"/>
  </r>
  <r>
    <s v="CA-2016-129714"/>
    <d v="2016-09-01T00:00:00"/>
    <x v="0"/>
    <x v="0"/>
    <s v="New York City"/>
    <x v="2"/>
    <s v="Xerox 1881"/>
    <x v="236"/>
    <n v="2"/>
    <n v="0"/>
    <n v="11.543200000000001"/>
  </r>
  <r>
    <s v="CA-2016-129714"/>
    <d v="2016-09-01T00:00:00"/>
    <x v="0"/>
    <x v="0"/>
    <s v="New York City"/>
    <x v="2"/>
    <s v="Acco Hanging Data Binders"/>
    <x v="237"/>
    <n v="1"/>
    <n v="0.2"/>
    <n v="1.0668"/>
  </r>
  <r>
    <s v="CA-2016-129714"/>
    <d v="2016-09-01T00:00:00"/>
    <x v="0"/>
    <x v="0"/>
    <s v="New York City"/>
    <x v="2"/>
    <s v="Xerox 1881"/>
    <x v="238"/>
    <n v="4"/>
    <n v="0"/>
    <n v="23.086400000000001"/>
  </r>
  <r>
    <s v="CA-2016-129714"/>
    <d v="2016-09-01T00:00:00"/>
    <x v="0"/>
    <x v="0"/>
    <s v="New York City"/>
    <x v="2"/>
    <s v="GBC DocuBind P400 Electric Binding System"/>
    <x v="239"/>
    <n v="4"/>
    <n v="0.2"/>
    <n v="1415.4295999999999"/>
  </r>
  <r>
    <s v="CA-2016-129903"/>
    <d v="2016-12-01T00:00:00"/>
    <x v="3"/>
    <x v="2"/>
    <s v="Rochester"/>
    <x v="2"/>
    <s v="Universal Premium White Copier/Laser Paper (20Lb. and 87 Bright)"/>
    <x v="240"/>
    <n v="4"/>
    <n v="0"/>
    <n v="11.720800000000001"/>
  </r>
  <r>
    <s v="CA-2016-130001"/>
    <d v="2016-04-23T00:00:00"/>
    <x v="7"/>
    <x v="3"/>
    <s v="Charlotte"/>
    <x v="2"/>
    <s v="Southworth 25% Cotton Linen-Finish Paper &amp; Envelopes"/>
    <x v="241"/>
    <n v="5"/>
    <n v="0.2"/>
    <n v="11.324999999999999"/>
  </r>
  <r>
    <s v="CA-2016-130162"/>
    <d v="2016-10-28T00:00:00"/>
    <x v="4"/>
    <x v="1"/>
    <s v="Los Angeles"/>
    <x v="2"/>
    <s v="Personal Filing Tote with Lid, Black/Gray"/>
    <x v="242"/>
    <n v="6"/>
    <n v="0"/>
    <n v="26.056799999999999"/>
  </r>
  <r>
    <s v="CA-2016-130162"/>
    <d v="2016-10-28T00:00:00"/>
    <x v="4"/>
    <x v="1"/>
    <s v="Los Angeles"/>
    <x v="0"/>
    <s v="Adtran 1202752G1"/>
    <x v="243"/>
    <n v="3"/>
    <n v="0.2"/>
    <n v="22.6782"/>
  </r>
  <r>
    <s v="CA-2016-134775"/>
    <d v="2016-10-28T00:00:00"/>
    <x v="4"/>
    <x v="1"/>
    <s v="San Francisco"/>
    <x v="2"/>
    <s v="Southworth Structures Collection"/>
    <x v="244"/>
    <n v="7"/>
    <n v="0"/>
    <n v="25.48"/>
  </r>
  <r>
    <s v="CA-2016-134775"/>
    <d v="2016-10-28T00:00:00"/>
    <x v="4"/>
    <x v="1"/>
    <s v="San Francisco"/>
    <x v="2"/>
    <s v="Square Ring Data Binders, Rigid 75 Pt. Covers, 11&quot; x 14-7/8&quot;"/>
    <x v="245"/>
    <n v="3"/>
    <n v="0.2"/>
    <n v="17.337599999999998"/>
  </r>
  <r>
    <s v="CA-2016-137330"/>
    <d v="2016-12-09T00:00:00"/>
    <x v="3"/>
    <x v="2"/>
    <s v="Fremont"/>
    <x v="2"/>
    <s v="Newell 318"/>
    <x v="246"/>
    <n v="7"/>
    <n v="0"/>
    <n v="5.0595999999999997"/>
  </r>
  <r>
    <s v="CA-2016-137330"/>
    <d v="2016-12-09T00:00:00"/>
    <x v="3"/>
    <x v="2"/>
    <s v="Fremont"/>
    <x v="2"/>
    <s v="Acco Six-Outlet Power Strip, 4' Cord Length"/>
    <x v="247"/>
    <n v="7"/>
    <n v="0"/>
    <n v="15.6884"/>
  </r>
  <r>
    <s v="CA-2016-138520"/>
    <d v="2016-04-08T00:00:00"/>
    <x v="7"/>
    <x v="0"/>
    <s v="New York City"/>
    <x v="1"/>
    <s v="Sauder Barrister Bookcases"/>
    <x v="248"/>
    <n v="6"/>
    <n v="0.2"/>
    <n v="-4.8587999999999996"/>
  </r>
  <r>
    <s v="CA-2016-138520"/>
    <d v="2016-04-08T00:00:00"/>
    <x v="7"/>
    <x v="0"/>
    <s v="New York City"/>
    <x v="2"/>
    <s v="#10 Gummed Flap White Envelopes, 100/Box"/>
    <x v="249"/>
    <n v="2"/>
    <n v="0"/>
    <n v="3.7995999999999999"/>
  </r>
  <r>
    <s v="CA-2016-138520"/>
    <d v="2016-04-08T00:00:00"/>
    <x v="7"/>
    <x v="0"/>
    <s v="New York City"/>
    <x v="2"/>
    <s v="Dixon Prang Watercolor Pencils, 10-Color Set with Brush"/>
    <x v="250"/>
    <n v="4"/>
    <n v="0"/>
    <n v="6.9863999999999997"/>
  </r>
  <r>
    <s v="CA-2016-138520"/>
    <d v="2016-04-08T00:00:00"/>
    <x v="7"/>
    <x v="0"/>
    <s v="New York City"/>
    <x v="2"/>
    <s v="Adams Phone Message Book, 200 Message Capacity, 8 1/16Â” x 11Â”"/>
    <x v="251"/>
    <n v="5"/>
    <n v="0"/>
    <n v="15.824"/>
  </r>
  <r>
    <s v="CA-2016-138688"/>
    <d v="2016-06-12T00:00:00"/>
    <x v="5"/>
    <x v="1"/>
    <s v="Los Angeles"/>
    <x v="2"/>
    <s v="Self-Adhesive Address Labels for Typewriters by Universal"/>
    <x v="206"/>
    <n v="2"/>
    <n v="0"/>
    <n v="6.8714000000000004"/>
  </r>
  <r>
    <s v="CA-2016-142545"/>
    <d v="2016-10-28T00:00:00"/>
    <x v="4"/>
    <x v="0"/>
    <s v="Belleville"/>
    <x v="2"/>
    <s v="Xerox 223"/>
    <x v="196"/>
    <n v="5"/>
    <n v="0"/>
    <n v="15.552"/>
  </r>
  <r>
    <s v="CA-2016-142545"/>
    <d v="2016-10-28T00:00:00"/>
    <x v="4"/>
    <x v="0"/>
    <s v="Belleville"/>
    <x v="2"/>
    <s v="Tennsco Stur-D-Stor Boltless Shelving, 5 Shelves, 24&quot; Deep, Sand"/>
    <x v="252"/>
    <n v="8"/>
    <n v="0"/>
    <n v="10.8248"/>
  </r>
  <r>
    <s v="CA-2016-142545"/>
    <d v="2016-10-28T00:00:00"/>
    <x v="4"/>
    <x v="0"/>
    <s v="Belleville"/>
    <x v="2"/>
    <s v="Xerox 1939"/>
    <x v="253"/>
    <n v="3"/>
    <n v="0"/>
    <n v="27.316800000000001"/>
  </r>
  <r>
    <s v="CA-2016-142545"/>
    <d v="2016-10-28T00:00:00"/>
    <x v="4"/>
    <x v="0"/>
    <s v="Belleville"/>
    <x v="1"/>
    <s v="Floodlight Indoor Halogen Bulbs, 1 Bulb per Pack, 60 Watts"/>
    <x v="254"/>
    <n v="4"/>
    <n v="0"/>
    <n v="38.024000000000001"/>
  </r>
  <r>
    <s v="CA-2016-142545"/>
    <d v="2016-10-28T00:00:00"/>
    <x v="4"/>
    <x v="0"/>
    <s v="Belleville"/>
    <x v="2"/>
    <s v="Avery Premier Heavy-Duty Binder with Round Locking Rings"/>
    <x v="130"/>
    <n v="1"/>
    <n v="0"/>
    <n v="6.5688000000000004"/>
  </r>
  <r>
    <s v="CA-2016-142902"/>
    <d v="2016-09-12T00:00:00"/>
    <x v="0"/>
    <x v="1"/>
    <s v="Arvada"/>
    <x v="1"/>
    <s v="C-Line Cubicle Keepers Polyproplyene Holder With Velcro Backings"/>
    <x v="255"/>
    <n v="4"/>
    <n v="0.2"/>
    <n v="3.5948000000000002"/>
  </r>
  <r>
    <s v="CA-2016-142902"/>
    <d v="2016-09-12T00:00:00"/>
    <x v="0"/>
    <x v="1"/>
    <s v="Arvada"/>
    <x v="1"/>
    <s v="Hon 4070 Series Pagoda Armless Upholstered Stacking Chairs"/>
    <x v="256"/>
    <n v="2"/>
    <n v="0.2"/>
    <n v="52.511400000000002"/>
  </r>
  <r>
    <s v="CA-2016-142902"/>
    <d v="2016-09-12T00:00:00"/>
    <x v="0"/>
    <x v="1"/>
    <s v="Arvada"/>
    <x v="1"/>
    <s v="Eldon Expressions Desk Accessory, Wood Photo Frame, Mahogany"/>
    <x v="257"/>
    <n v="1"/>
    <n v="0.2"/>
    <n v="1.7136"/>
  </r>
  <r>
    <s v="CA-2016-142902"/>
    <d v="2016-09-12T00:00:00"/>
    <x v="0"/>
    <x v="1"/>
    <s v="Arvada"/>
    <x v="2"/>
    <s v="Avery 509"/>
    <x v="258"/>
    <n v="3"/>
    <n v="0.2"/>
    <n v="2.0358000000000001"/>
  </r>
  <r>
    <s v="CA-2016-145583"/>
    <d v="2016-10-13T00:00:00"/>
    <x v="4"/>
    <x v="1"/>
    <s v="Roseville"/>
    <x v="2"/>
    <s v="Xerox 195"/>
    <x v="259"/>
    <n v="3"/>
    <n v="0"/>
    <n v="9.6191999999999993"/>
  </r>
  <r>
    <s v="CA-2016-145583"/>
    <d v="2016-10-13T00:00:00"/>
    <x v="4"/>
    <x v="1"/>
    <s v="Roseville"/>
    <x v="2"/>
    <s v="Xerox 1880"/>
    <x v="260"/>
    <n v="1"/>
    <n v="0"/>
    <n v="16.6568"/>
  </r>
  <r>
    <s v="CA-2016-145583"/>
    <d v="2016-10-13T00:00:00"/>
    <x v="4"/>
    <x v="1"/>
    <s v="Roseville"/>
    <x v="2"/>
    <s v="Sanford Colorific Colored Pencils, 12/Box"/>
    <x v="261"/>
    <n v="4"/>
    <n v="0"/>
    <n v="3.456"/>
  </r>
  <r>
    <s v="CA-2016-145583"/>
    <d v="2016-10-13T00:00:00"/>
    <x v="4"/>
    <x v="1"/>
    <s v="Roseville"/>
    <x v="2"/>
    <s v="Ideal Clamps"/>
    <x v="262"/>
    <n v="2"/>
    <n v="0"/>
    <n v="1.9698"/>
  </r>
  <r>
    <s v="CA-2016-145583"/>
    <d v="2016-10-13T00:00:00"/>
    <x v="4"/>
    <x v="1"/>
    <s v="Roseville"/>
    <x v="2"/>
    <s v="GBC Wire Binding Strips"/>
    <x v="263"/>
    <n v="3"/>
    <n v="0.2"/>
    <n v="26.6616"/>
  </r>
  <r>
    <s v="CA-2016-145583"/>
    <d v="2016-10-13T00:00:00"/>
    <x v="4"/>
    <x v="1"/>
    <s v="Roseville"/>
    <x v="2"/>
    <s v="Fiskars Softgrip Scissors"/>
    <x v="264"/>
    <n v="6"/>
    <n v="0"/>
    <n v="18.446400000000001"/>
  </r>
  <r>
    <s v="CA-2016-145583"/>
    <d v="2016-10-13T00:00:00"/>
    <x v="4"/>
    <x v="1"/>
    <s v="Roseville"/>
    <x v="1"/>
    <s v="Longer-Life Soft White Bulbs"/>
    <x v="265"/>
    <n v="14"/>
    <n v="0"/>
    <n v="20.697600000000001"/>
  </r>
  <r>
    <s v="CA-2016-145625"/>
    <d v="2016-09-11T00:00:00"/>
    <x v="0"/>
    <x v="1"/>
    <s v="San Diego"/>
    <x v="2"/>
    <s v="Wirebound Message Books, Two 4 1/4&quot; x 5&quot; Forms per Page"/>
    <x v="266"/>
    <n v="1"/>
    <n v="0"/>
    <n v="3.5767000000000002"/>
  </r>
  <r>
    <s v="CA-2016-145625"/>
    <d v="2016-09-11T00:00:00"/>
    <x v="0"/>
    <x v="1"/>
    <s v="San Diego"/>
    <x v="0"/>
    <s v="LogitechÂ P710e Mobile Speakerphone"/>
    <x v="267"/>
    <n v="13"/>
    <n v="0"/>
    <n v="636.00030000000004"/>
  </r>
  <r>
    <s v="CA-2016-146941"/>
    <d v="2016-12-10T00:00:00"/>
    <x v="3"/>
    <x v="0"/>
    <s v="New York City"/>
    <x v="2"/>
    <s v="Fellowes Personal Hanging Folder Files, Navy"/>
    <x v="268"/>
    <n v="6"/>
    <n v="0"/>
    <n v="22.5624"/>
  </r>
  <r>
    <s v="CA-2016-146941"/>
    <d v="2016-12-10T00:00:00"/>
    <x v="3"/>
    <x v="0"/>
    <s v="New York City"/>
    <x v="2"/>
    <s v="Tyvek Side-Opening Peel &amp; Seel Expanding Envelopes"/>
    <x v="269"/>
    <n v="4"/>
    <n v="0"/>
    <n v="162.864"/>
  </r>
  <r>
    <s v="CA-2016-147375"/>
    <d v="2016-06-12T00:00:00"/>
    <x v="5"/>
    <x v="2"/>
    <s v="Chicago"/>
    <x v="0"/>
    <s v="Canon Color ImageCLASS MF8580Cdw Wireless Laser All-In-One Printer, Copier, Scanner"/>
    <x v="270"/>
    <n v="3"/>
    <n v="0.3"/>
    <n v="43.199100000000001"/>
  </r>
  <r>
    <s v="CA-2016-147375"/>
    <d v="2016-06-12T00:00:00"/>
    <x v="5"/>
    <x v="2"/>
    <s v="Chicago"/>
    <x v="2"/>
    <s v="Xerox 1908"/>
    <x v="271"/>
    <n v="7"/>
    <n v="0.2"/>
    <n v="113.63939999999999"/>
  </r>
  <r>
    <s v="CA-2016-148796"/>
    <d v="2016-04-14T00:00:00"/>
    <x v="7"/>
    <x v="1"/>
    <s v="Los Angeles"/>
    <x v="1"/>
    <s v="Bevis Steel Folding Chairs"/>
    <x v="272"/>
    <n v="5"/>
    <n v="0.2"/>
    <n v="38.380000000000003"/>
  </r>
  <r>
    <s v="CA-2016-149223"/>
    <d v="2016-09-06T00:00:00"/>
    <x v="0"/>
    <x v="2"/>
    <s v="Saint Paul"/>
    <x v="2"/>
    <s v="Fellowes Basic Home/Office Series Surge Protectors"/>
    <x v="167"/>
    <n v="6"/>
    <n v="0"/>
    <n v="22.5852"/>
  </r>
  <r>
    <s v="CA-2016-152156"/>
    <d v="2016-11-08T00:00:00"/>
    <x v="2"/>
    <x v="3"/>
    <s v="Henderson"/>
    <x v="1"/>
    <s v="Bush Somerset Collection Bookcase"/>
    <x v="273"/>
    <n v="2"/>
    <n v="0"/>
    <n v="41.913600000000002"/>
  </r>
  <r>
    <s v="CA-2016-152156"/>
    <d v="2016-11-08T00:00:00"/>
    <x v="2"/>
    <x v="3"/>
    <s v="Henderson"/>
    <x v="1"/>
    <s v="Hon Deluxe Fabric Upholstered Stacking Chairs, Rounded Back"/>
    <x v="274"/>
    <n v="3"/>
    <n v="0"/>
    <n v="219.58199999999999"/>
  </r>
  <r>
    <s v="CA-2016-152632"/>
    <d v="2016-10-27T00:00:00"/>
    <x v="4"/>
    <x v="0"/>
    <s v="Troy"/>
    <x v="1"/>
    <s v="Electrix 20W Halogen Replacement Bulb for Zoom-In Desk Lamp"/>
    <x v="275"/>
    <n v="3"/>
    <n v="0"/>
    <n v="19.295999999999999"/>
  </r>
  <r>
    <s v="CA-2016-154508"/>
    <d v="2016-11-16T00:00:00"/>
    <x v="2"/>
    <x v="1"/>
    <s v="Carlsbad"/>
    <x v="2"/>
    <s v="Staple envelope"/>
    <x v="276"/>
    <n v="5"/>
    <n v="0"/>
    <n v="13.348000000000001"/>
  </r>
  <r>
    <s v="CA-2016-154739"/>
    <d v="2016-12-10T00:00:00"/>
    <x v="3"/>
    <x v="1"/>
    <s v="San Francisco"/>
    <x v="1"/>
    <s v="Global Leather Highback Executive Chair with Pneumatic Height Adjustment, Black"/>
    <x v="277"/>
    <n v="2"/>
    <n v="0.2"/>
    <n v="28.1372"/>
  </r>
  <r>
    <s v="CA-2016-155516"/>
    <d v="2016-10-21T00:00:00"/>
    <x v="4"/>
    <x v="0"/>
    <s v="Manchester"/>
    <x v="2"/>
    <s v="Wilson Jones Â“SnapÂ” Scratch Pad Binder Tool for Ring Binders"/>
    <x v="278"/>
    <n v="4"/>
    <n v="0"/>
    <n v="10.44"/>
  </r>
  <r>
    <s v="CA-2016-155516"/>
    <d v="2016-10-21T00:00:00"/>
    <x v="4"/>
    <x v="0"/>
    <s v="Manchester"/>
    <x v="2"/>
    <s v="Staple remover"/>
    <x v="279"/>
    <n v="2"/>
    <n v="0"/>
    <n v="0.1472"/>
  </r>
  <r>
    <s v="CA-2016-155516"/>
    <d v="2016-10-21T00:00:00"/>
    <x v="4"/>
    <x v="0"/>
    <s v="Manchester"/>
    <x v="2"/>
    <s v="Pizazz Global Quick File"/>
    <x v="280"/>
    <n v="7"/>
    <n v="0"/>
    <n v="29.341200000000001"/>
  </r>
  <r>
    <s v="CA-2016-155516"/>
    <d v="2016-10-21T00:00:00"/>
    <x v="4"/>
    <x v="0"/>
    <s v="Manchester"/>
    <x v="1"/>
    <s v="Atlantic Metals Mobile 3-Shelf Bookcases, Custom Colors"/>
    <x v="281"/>
    <n v="4"/>
    <n v="0"/>
    <n v="271.41919999999999"/>
  </r>
  <r>
    <s v="CA-2016-157000"/>
    <d v="2016-07-16T00:00:00"/>
    <x v="8"/>
    <x v="2"/>
    <s v="Grand Prairie"/>
    <x v="2"/>
    <s v="Personal Filing Tote with Lid, Black/Gray"/>
    <x v="282"/>
    <n v="3"/>
    <n v="0.2"/>
    <n v="3.7223999999999999"/>
  </r>
  <r>
    <s v="CA-2016-157000"/>
    <d v="2016-07-16T00:00:00"/>
    <x v="8"/>
    <x v="2"/>
    <s v="Grand Prairie"/>
    <x v="2"/>
    <s v="Southworth 25% Cotton Antique Laid Paper &amp; Envelopes"/>
    <x v="283"/>
    <n v="3"/>
    <n v="0.2"/>
    <n v="6.2549999999999999"/>
  </r>
  <r>
    <s v="CA-2016-157749"/>
    <d v="2016-06-04T00:00:00"/>
    <x v="5"/>
    <x v="2"/>
    <s v="Chicago"/>
    <x v="2"/>
    <s v="Xerox 1957"/>
    <x v="47"/>
    <n v="5"/>
    <n v="0.2"/>
    <n v="9.3960000000000008"/>
  </r>
  <r>
    <s v="CA-2016-157749"/>
    <d v="2016-06-04T00:00:00"/>
    <x v="5"/>
    <x v="2"/>
    <s v="Chicago"/>
    <x v="1"/>
    <s v="Luxo Professional Fluorescent Magnifier Lamp with Clamp-Mount Base"/>
    <x v="284"/>
    <n v="5"/>
    <n v="0.6"/>
    <n v="-356.72800000000001"/>
  </r>
  <r>
    <s v="CA-2016-157749"/>
    <d v="2016-06-04T00:00:00"/>
    <x v="5"/>
    <x v="2"/>
    <s v="Chicago"/>
    <x v="1"/>
    <s v="Staple-based wall hangings"/>
    <x v="285"/>
    <n v="3"/>
    <n v="0.6"/>
    <n v="-4.6752000000000002"/>
  </r>
  <r>
    <s v="CA-2016-157749"/>
    <d v="2016-06-04T00:00:00"/>
    <x v="5"/>
    <x v="2"/>
    <s v="Chicago"/>
    <x v="0"/>
    <s v="PureGear Roll-On Screen Protector"/>
    <x v="286"/>
    <n v="2"/>
    <n v="0.2"/>
    <n v="11.1944"/>
  </r>
  <r>
    <s v="CA-2016-157749"/>
    <d v="2016-06-04T00:00:00"/>
    <x v="5"/>
    <x v="2"/>
    <s v="Chicago"/>
    <x v="1"/>
    <s v="KI Conference Tables"/>
    <x v="287"/>
    <n v="5"/>
    <n v="0.5"/>
    <n v="-120.51300000000001"/>
  </r>
  <r>
    <s v="CA-2016-157749"/>
    <d v="2016-06-04T00:00:00"/>
    <x v="5"/>
    <x v="2"/>
    <s v="Chicago"/>
    <x v="1"/>
    <s v="Eldon 100 Class Desk Accessories"/>
    <x v="288"/>
    <n v="3"/>
    <n v="0.6"/>
    <n v="-2.8308"/>
  </r>
  <r>
    <s v="CA-2016-157749"/>
    <d v="2016-06-04T00:00:00"/>
    <x v="5"/>
    <x v="2"/>
    <s v="Chicago"/>
    <x v="2"/>
    <s v="Binney &amp; Smith Crayola Metallic Colored Pencils, 8-Color Set"/>
    <x v="63"/>
    <n v="2"/>
    <n v="0.2"/>
    <n v="1.2038"/>
  </r>
  <r>
    <s v="CA-2016-158568"/>
    <d v="2016-08-29T00:00:00"/>
    <x v="6"/>
    <x v="2"/>
    <s v="Chicago"/>
    <x v="2"/>
    <s v="Avery Personal Creations Heavyweight Cards"/>
    <x v="289"/>
    <n v="7"/>
    <n v="0.2"/>
    <n v="22.618400000000001"/>
  </r>
  <r>
    <s v="CA-2016-158568"/>
    <d v="2016-08-29T00:00:00"/>
    <x v="6"/>
    <x v="2"/>
    <s v="Chicago"/>
    <x v="0"/>
    <s v="SanDisk Ultra 64 GB MicroSDHC Class 10 Memory Card"/>
    <x v="290"/>
    <n v="3"/>
    <n v="0.2"/>
    <n v="-10.7973"/>
  </r>
  <r>
    <s v="CA-2016-158568"/>
    <d v="2016-08-29T00:00:00"/>
    <x v="6"/>
    <x v="2"/>
    <s v="Chicago"/>
    <x v="2"/>
    <s v="Avery Hidden Tab Dividers for Binding Systems"/>
    <x v="291"/>
    <n v="3"/>
    <n v="0.8"/>
    <n v="-3.0396000000000001"/>
  </r>
  <r>
    <s v="CA-2016-158834"/>
    <d v="2016-03-13T00:00:00"/>
    <x v="1"/>
    <x v="1"/>
    <s v="Scottsdale"/>
    <x v="2"/>
    <s v="Belkin 7 Outlet SurgeMaster Surge Protector with Phone Protection"/>
    <x v="292"/>
    <n v="5"/>
    <n v="0.2"/>
    <n v="17.765999999999998"/>
  </r>
  <r>
    <s v="CA-2016-158834"/>
    <d v="2016-03-13T00:00:00"/>
    <x v="1"/>
    <x v="1"/>
    <s v="Scottsdale"/>
    <x v="0"/>
    <s v="Jabra BIZ 2300 Duo QD Duo CordedÂ Headset"/>
    <x v="293"/>
    <n v="2"/>
    <n v="0.2"/>
    <n v="15.238799999999999"/>
  </r>
  <r>
    <s v="CA-2016-159695"/>
    <d v="2016-04-05T00:00:00"/>
    <x v="7"/>
    <x v="2"/>
    <s v="Houston"/>
    <x v="2"/>
    <s v="Eldon Portable Mobile Manager"/>
    <x v="294"/>
    <n v="7"/>
    <n v="0.2"/>
    <n v="13.857200000000001"/>
  </r>
  <r>
    <s v="CA-2016-161389"/>
    <d v="2016-12-05T00:00:00"/>
    <x v="3"/>
    <x v="1"/>
    <s v="Seattle"/>
    <x v="2"/>
    <s v="Fellowes PB200 Plastic Comb Binding Machine"/>
    <x v="295"/>
    <n v="3"/>
    <n v="0.2"/>
    <n v="132.59219999999999"/>
  </r>
  <r>
    <s v="CA-2016-162138"/>
    <d v="2016-04-23T00:00:00"/>
    <x v="7"/>
    <x v="1"/>
    <s v="Hesperia"/>
    <x v="2"/>
    <s v="Ibico Laser Imprintable Binding System Covers"/>
    <x v="296"/>
    <n v="6"/>
    <n v="0.2"/>
    <n v="81.744"/>
  </r>
  <r>
    <s v="CA-2016-162138"/>
    <d v="2016-04-23T00:00:00"/>
    <x v="7"/>
    <x v="1"/>
    <s v="Hesperia"/>
    <x v="0"/>
    <s v="Logitech Wireless Headset h800"/>
    <x v="297"/>
    <n v="1"/>
    <n v="0"/>
    <n v="34.996499999999997"/>
  </r>
  <r>
    <s v="CA-2016-162733"/>
    <d v="2016-05-11T00:00:00"/>
    <x v="9"/>
    <x v="1"/>
    <s v="Los Angeles"/>
    <x v="2"/>
    <s v="Xerox 1920"/>
    <x v="298"/>
    <n v="1"/>
    <n v="0"/>
    <n v="2.6909999999999998"/>
  </r>
  <r>
    <s v="CA-2016-166674"/>
    <d v="2016-04-01T00:00:00"/>
    <x v="7"/>
    <x v="0"/>
    <s v="Auburn"/>
    <x v="2"/>
    <s v="Newell 345"/>
    <x v="299"/>
    <n v="3"/>
    <n v="0"/>
    <n v="15.475199999999999"/>
  </r>
  <r>
    <s v="CA-2016-166674"/>
    <d v="2016-04-01T00:00:00"/>
    <x v="7"/>
    <x v="0"/>
    <s v="Auburn"/>
    <x v="2"/>
    <s v="Fellowes Bankers Box Recycled Super Stor/Drawer"/>
    <x v="300"/>
    <n v="3"/>
    <n v="0"/>
    <n v="9.7164000000000001"/>
  </r>
  <r>
    <s v="CA-2016-166674"/>
    <d v="2016-04-01T00:00:00"/>
    <x v="7"/>
    <x v="0"/>
    <s v="Auburn"/>
    <x v="2"/>
    <s v="Boston 1645 Deluxe Heavier-Duty Electric Pencil Sharpener"/>
    <x v="301"/>
    <n v="6"/>
    <n v="0"/>
    <n v="71.247600000000006"/>
  </r>
  <r>
    <s v="CA-2016-166674"/>
    <d v="2016-04-01T00:00:00"/>
    <x v="7"/>
    <x v="0"/>
    <s v="Auburn"/>
    <x v="2"/>
    <s v="50 Colored Long Pencils"/>
    <x v="302"/>
    <n v="3"/>
    <n v="0"/>
    <n v="7.9248000000000003"/>
  </r>
  <r>
    <s v="CA-2016-166674"/>
    <d v="2016-04-01T00:00:00"/>
    <x v="7"/>
    <x v="0"/>
    <s v="Auburn"/>
    <x v="2"/>
    <s v="Newell 342"/>
    <x v="42"/>
    <n v="3"/>
    <n v="0"/>
    <n v="2.8536000000000001"/>
  </r>
  <r>
    <s v="CA-2016-166674"/>
    <d v="2016-04-01T00:00:00"/>
    <x v="7"/>
    <x v="0"/>
    <s v="Auburn"/>
    <x v="0"/>
    <s v="Belkin Grip Candy Sheer Case / Cover for iPhone 5 and 5S"/>
    <x v="303"/>
    <n v="4"/>
    <n v="0"/>
    <n v="9.1311999999999998"/>
  </r>
  <r>
    <s v="CA-2016-169166"/>
    <d v="2016-05-09T00:00:00"/>
    <x v="9"/>
    <x v="1"/>
    <s v="Seattle"/>
    <x v="0"/>
    <s v="Sony Micro Vault Click 8 GB USB 2.0 Flash Drive"/>
    <x v="304"/>
    <n v="2"/>
    <n v="0"/>
    <n v="13.1572"/>
  </r>
  <r>
    <s v="CA-2016-169194"/>
    <d v="2016-06-20T00:00:00"/>
    <x v="5"/>
    <x v="0"/>
    <s v="Dover"/>
    <x v="0"/>
    <s v="ImationÂ 8gb Micro Traveldrive Usb 2.0Â Flash Drive"/>
    <x v="305"/>
    <n v="3"/>
    <n v="0"/>
    <n v="4.95"/>
  </r>
  <r>
    <s v="CA-2016-169194"/>
    <d v="2016-06-20T00:00:00"/>
    <x v="5"/>
    <x v="0"/>
    <s v="Dover"/>
    <x v="0"/>
    <s v="LF Elite 3D Dazzle Designer Hard Case Cover, Lf Stylus Pen and Wiper For Apple Iphone 5c Mini Lite"/>
    <x v="306"/>
    <n v="2"/>
    <n v="0"/>
    <n v="6.1040000000000001"/>
  </r>
  <r>
    <s v="CA-2017-101798"/>
    <d v="2017-12-11T00:00:00"/>
    <x v="3"/>
    <x v="0"/>
    <s v="New York City"/>
    <x v="2"/>
    <s v="Angle-D Binders with Locking Rings, Label Holders"/>
    <x v="307"/>
    <n v="4"/>
    <n v="0.2"/>
    <n v="7.8840000000000003"/>
  </r>
  <r>
    <s v="CA-2017-101798"/>
    <d v="2017-12-11T00:00:00"/>
    <x v="3"/>
    <x v="0"/>
    <s v="New York City"/>
    <x v="0"/>
    <s v="LogitechÂ LS21 Speaker System - PC Multimedia - 2.1-CH - Wired"/>
    <x v="308"/>
    <n v="2"/>
    <n v="0"/>
    <n v="13.5932"/>
  </r>
  <r>
    <s v="CA-2017-102946"/>
    <d v="2017-06-30T00:00:00"/>
    <x v="5"/>
    <x v="1"/>
    <s v="Las Vegas"/>
    <x v="2"/>
    <s v="Tuf-Vin Binders"/>
    <x v="309"/>
    <n v="3"/>
    <n v="0.2"/>
    <n v="25.579799999999999"/>
  </r>
  <r>
    <s v="CA-2017-104745"/>
    <d v="2017-05-29T00:00:00"/>
    <x v="9"/>
    <x v="2"/>
    <s v="Harlingen"/>
    <x v="2"/>
    <s v="Xerox 1930"/>
    <x v="47"/>
    <n v="5"/>
    <n v="0.2"/>
    <n v="9.3960000000000008"/>
  </r>
  <r>
    <s v="CA-2017-104745"/>
    <d v="2017-05-29T00:00:00"/>
    <x v="9"/>
    <x v="2"/>
    <s v="Harlingen"/>
    <x v="2"/>
    <s v="File Shuttle I and Handi-File"/>
    <x v="310"/>
    <n v="3"/>
    <n v="0.2"/>
    <n v="4.6745999999999999"/>
  </r>
  <r>
    <s v="CA-2017-105074"/>
    <d v="2017-06-24T00:00:00"/>
    <x v="5"/>
    <x v="0"/>
    <s v="Akron"/>
    <x v="2"/>
    <s v="Southworth 25% Cotton Linen-Finish Paper &amp; Envelopes"/>
    <x v="311"/>
    <n v="3"/>
    <n v="0.2"/>
    <n v="6.7949999999999999"/>
  </r>
  <r>
    <s v="CA-2017-106180"/>
    <d v="2017-09-18T00:00:00"/>
    <x v="0"/>
    <x v="1"/>
    <s v="San Francisco"/>
    <x v="2"/>
    <s v="Newell 343"/>
    <x v="312"/>
    <n v="3"/>
    <n v="0"/>
    <n v="2.3814000000000002"/>
  </r>
  <r>
    <s v="CA-2017-106180"/>
    <d v="2017-09-18T00:00:00"/>
    <x v="0"/>
    <x v="1"/>
    <s v="San Francisco"/>
    <x v="2"/>
    <s v="Convenience Packs of Business Envelopes"/>
    <x v="313"/>
    <n v="3"/>
    <n v="0"/>
    <n v="5.1041999999999996"/>
  </r>
  <r>
    <s v="CA-2017-106180"/>
    <d v="2017-09-18T00:00:00"/>
    <x v="0"/>
    <x v="1"/>
    <s v="San Francisco"/>
    <x v="2"/>
    <s v="Xerox 1911"/>
    <x v="314"/>
    <n v="3"/>
    <n v="0"/>
    <n v="68.975999999999999"/>
  </r>
  <r>
    <s v="CA-2017-107720"/>
    <d v="2017-11-06T00:00:00"/>
    <x v="2"/>
    <x v="0"/>
    <s v="Westfield"/>
    <x v="2"/>
    <s v="Decoflex Hanging Personal Folder File"/>
    <x v="315"/>
    <n v="3"/>
    <n v="0"/>
    <n v="12.0276"/>
  </r>
  <r>
    <s v="CA-2017-107727"/>
    <d v="2017-10-19T00:00:00"/>
    <x v="4"/>
    <x v="2"/>
    <s v="Houston"/>
    <x v="2"/>
    <s v="Easy-staple paper"/>
    <x v="316"/>
    <n v="3"/>
    <n v="0.2"/>
    <n v="9.9467999999999996"/>
  </r>
  <r>
    <s v="CA-2017-108329"/>
    <d v="2017-12-09T00:00:00"/>
    <x v="3"/>
    <x v="1"/>
    <s v="Whittier"/>
    <x v="0"/>
    <s v="Nortel Business Series Terminal T7208 Digital phone"/>
    <x v="317"/>
    <n v="4"/>
    <n v="0.2"/>
    <n v="44.476799999999997"/>
  </r>
  <r>
    <s v="CA-2017-110478"/>
    <d v="2017-03-04T00:00:00"/>
    <x v="1"/>
    <x v="1"/>
    <s v="Los Angeles"/>
    <x v="2"/>
    <s v="American Pencil"/>
    <x v="318"/>
    <n v="4"/>
    <n v="0"/>
    <n v="2.7027999999999999"/>
  </r>
  <r>
    <s v="CA-2017-110478"/>
    <d v="2017-03-04T00:00:00"/>
    <x v="1"/>
    <x v="1"/>
    <s v="Los Angeles"/>
    <x v="2"/>
    <s v="White Envelopes, White Envelopes with Clear Poly Window"/>
    <x v="319"/>
    <n v="1"/>
    <n v="0"/>
    <n v="7.0149999999999997"/>
  </r>
  <r>
    <s v="CA-2017-114412"/>
    <d v="2017-04-15T00:00:00"/>
    <x v="7"/>
    <x v="3"/>
    <s v="Concord"/>
    <x v="2"/>
    <s v="Xerox 1967"/>
    <x v="91"/>
    <n v="3"/>
    <n v="0.2"/>
    <n v="5.4432"/>
  </r>
  <r>
    <s v="CA-2017-114440"/>
    <d v="2017-09-14T00:00:00"/>
    <x v="0"/>
    <x v="2"/>
    <s v="Jackson"/>
    <x v="2"/>
    <s v="Telephone Message Books with Fax/Mobile Section, 5 1/2&quot; x 3 3/16&quot;"/>
    <x v="320"/>
    <n v="3"/>
    <n v="0"/>
    <n v="8.7629999999999999"/>
  </r>
  <r>
    <s v="CA-2017-117457"/>
    <d v="2017-12-08T00:00:00"/>
    <x v="3"/>
    <x v="1"/>
    <s v="San Francisco"/>
    <x v="0"/>
    <s v="Sony 64GB Class 10 Micro SDHC R40 Memory Card"/>
    <x v="321"/>
    <n v="5"/>
    <n v="0"/>
    <n v="37.789499999999997"/>
  </r>
  <r>
    <s v="CA-2017-117457"/>
    <d v="2017-12-08T00:00:00"/>
    <x v="3"/>
    <x v="1"/>
    <s v="San Francisco"/>
    <x v="0"/>
    <s v="Sharp AL-1530CS Digital Copier"/>
    <x v="322"/>
    <n v="3"/>
    <n v="0.2"/>
    <n v="434.99130000000002"/>
  </r>
  <r>
    <s v="CA-2017-117457"/>
    <d v="2017-12-08T00:00:00"/>
    <x v="3"/>
    <x v="1"/>
    <s v="San Francisco"/>
    <x v="2"/>
    <s v="Wirebound Message Book, 4 per Page"/>
    <x v="323"/>
    <n v="5"/>
    <n v="0"/>
    <n v="13.3035"/>
  </r>
  <r>
    <s v="CA-2017-117457"/>
    <d v="2017-12-08T00:00:00"/>
    <x v="3"/>
    <x v="1"/>
    <s v="San Francisco"/>
    <x v="1"/>
    <s v="Bevis Round Conference Table Top, X-Base"/>
    <x v="324"/>
    <n v="7"/>
    <n v="0.2"/>
    <n v="-112.95269999999999"/>
  </r>
  <r>
    <s v="CA-2017-117457"/>
    <d v="2017-12-08T00:00:00"/>
    <x v="3"/>
    <x v="1"/>
    <s v="San Francisco"/>
    <x v="2"/>
    <s v="Wirebound Service Call Books, 5 1/2&quot; x 4&quot;"/>
    <x v="325"/>
    <n v="1"/>
    <n v="0"/>
    <n v="4.6463999999999999"/>
  </r>
  <r>
    <s v="CA-2017-117457"/>
    <d v="2017-12-08T00:00:00"/>
    <x v="3"/>
    <x v="1"/>
    <s v="San Francisco"/>
    <x v="2"/>
    <s v="Self-Adhesive Removable Labels"/>
    <x v="326"/>
    <n v="9"/>
    <n v="0"/>
    <n v="13.608000000000001"/>
  </r>
  <r>
    <s v="CA-2017-117457"/>
    <d v="2017-12-08T00:00:00"/>
    <x v="3"/>
    <x v="1"/>
    <s v="San Francisco"/>
    <x v="2"/>
    <s v="Xerox 1908"/>
    <x v="327"/>
    <n v="1"/>
    <n v="0"/>
    <n v="27.430199999999999"/>
  </r>
  <r>
    <s v="CA-2017-117457"/>
    <d v="2017-12-08T00:00:00"/>
    <x v="3"/>
    <x v="1"/>
    <s v="San Francisco"/>
    <x v="1"/>
    <s v="O'Sullivan 4-Shelf Bookcase in Odessa Pine"/>
    <x v="328"/>
    <n v="13"/>
    <n v="0.15"/>
    <n v="31.454799999999999"/>
  </r>
  <r>
    <s v="CA-2017-117457"/>
    <d v="2017-12-08T00:00:00"/>
    <x v="3"/>
    <x v="1"/>
    <s v="San Francisco"/>
    <x v="1"/>
    <s v="Novimex High-Tech Fabric Mesh Task Chair"/>
    <x v="329"/>
    <n v="2"/>
    <n v="0.2"/>
    <n v="-18.454799999999999"/>
  </r>
  <r>
    <s v="CA-2017-117933"/>
    <d v="2017-12-24T00:00:00"/>
    <x v="3"/>
    <x v="0"/>
    <s v="New York City"/>
    <x v="2"/>
    <s v="Staple holder"/>
    <x v="330"/>
    <n v="3"/>
    <n v="0"/>
    <n v="9.6957000000000004"/>
  </r>
  <r>
    <s v="CA-2017-118136"/>
    <d v="2017-09-16T00:00:00"/>
    <x v="0"/>
    <x v="1"/>
    <s v="Inglewood"/>
    <x v="2"/>
    <s v="Ampad Gold Fibre Wirebound Steno Books, 6&quot; x 9&quot;, Gregg Ruled"/>
    <x v="312"/>
    <n v="2"/>
    <n v="0"/>
    <n v="4.0571999999999999"/>
  </r>
  <r>
    <s v="CA-2017-118136"/>
    <d v="2017-09-16T00:00:00"/>
    <x v="0"/>
    <x v="1"/>
    <s v="Inglewood"/>
    <x v="2"/>
    <s v="Newell 330"/>
    <x v="298"/>
    <n v="1"/>
    <n v="0"/>
    <n v="1.5548"/>
  </r>
  <r>
    <s v="CA-2017-119004"/>
    <d v="2017-11-23T00:00:00"/>
    <x v="2"/>
    <x v="3"/>
    <s v="Charlotte"/>
    <x v="0"/>
    <s v="Memorex Mini Travel Drive 8 GB USB 2.0 Flash Drive"/>
    <x v="331"/>
    <n v="8"/>
    <n v="0.2"/>
    <n v="17.601600000000001"/>
  </r>
  <r>
    <s v="CA-2017-119004"/>
    <d v="2017-11-23T00:00:00"/>
    <x v="2"/>
    <x v="3"/>
    <s v="Charlotte"/>
    <x v="0"/>
    <s v="Speck Products Candyshell Flip Case"/>
    <x v="332"/>
    <n v="1"/>
    <n v="0.2"/>
    <n v="2.0994000000000002"/>
  </r>
  <r>
    <s v="CA-2017-119004"/>
    <d v="2017-11-23T00:00:00"/>
    <x v="2"/>
    <x v="3"/>
    <s v="Charlotte"/>
    <x v="2"/>
    <s v="Newell Chalk Holder"/>
    <x v="333"/>
    <n v="1"/>
    <n v="0.2"/>
    <n v="1.0738000000000001"/>
  </r>
  <r>
    <s v="CA-2017-120999"/>
    <d v="2017-09-10T00:00:00"/>
    <x v="0"/>
    <x v="2"/>
    <s v="Naperville"/>
    <x v="0"/>
    <s v="Panasonic Kx-TS550"/>
    <x v="334"/>
    <n v="4"/>
    <n v="0.2"/>
    <n v="16.5564"/>
  </r>
  <r>
    <s v="CA-2017-122105"/>
    <d v="2017-06-24T00:00:00"/>
    <x v="5"/>
    <x v="1"/>
    <s v="Huntington Beach"/>
    <x v="2"/>
    <s v="Bulldog Vacuum Base Pencil Sharpener"/>
    <x v="335"/>
    <n v="8"/>
    <n v="0"/>
    <n v="25.898399999999999"/>
  </r>
  <r>
    <s v="CA-2017-125388"/>
    <d v="2017-10-19T00:00:00"/>
    <x v="4"/>
    <x v="0"/>
    <s v="Lawrence"/>
    <x v="1"/>
    <s v="Westinghouse Mesh Shade Clip-On Gooseneck Lamp, Black"/>
    <x v="336"/>
    <n v="4"/>
    <n v="0"/>
    <n v="14.7056"/>
  </r>
  <r>
    <s v="CA-2017-125388"/>
    <d v="2017-10-19T00:00:00"/>
    <x v="4"/>
    <x v="0"/>
    <s v="Lawrence"/>
    <x v="2"/>
    <s v="Crate-A-Files"/>
    <x v="337"/>
    <n v="3"/>
    <n v="0"/>
    <n v="8.5020000000000007"/>
  </r>
  <r>
    <s v="CA-2017-126382"/>
    <d v="2017-06-03T00:00:00"/>
    <x v="5"/>
    <x v="3"/>
    <s v="Franklin"/>
    <x v="1"/>
    <s v="Eldon 200 Class Desk Accessories, Burgundy"/>
    <x v="338"/>
    <n v="7"/>
    <n v="0.2"/>
    <n v="9.6712000000000007"/>
  </r>
  <r>
    <s v="CA-2017-126774"/>
    <d v="2017-04-15T00:00:00"/>
    <x v="7"/>
    <x v="3"/>
    <s v="Arlington"/>
    <x v="2"/>
    <s v="Faber Castell Col-Erase Pencils"/>
    <x v="339"/>
    <n v="1"/>
    <n v="0"/>
    <n v="2.0049000000000001"/>
  </r>
  <r>
    <s v="CA-2017-130043"/>
    <d v="2017-09-15T00:00:00"/>
    <x v="0"/>
    <x v="2"/>
    <s v="Houston"/>
    <x v="2"/>
    <s v="Xerox 1897"/>
    <x v="340"/>
    <n v="8"/>
    <n v="0.2"/>
    <n v="11.553599999999999"/>
  </r>
  <r>
    <s v="CA-2017-132976"/>
    <d v="2017-10-13T00:00:00"/>
    <x v="4"/>
    <x v="0"/>
    <s v="Philadelphia"/>
    <x v="2"/>
    <s v="Post-it Â“Important MessageÂ” Note Pad, Neon Colors, 50 Sheets/Pad"/>
    <x v="223"/>
    <n v="2"/>
    <n v="0.2"/>
    <n v="4.0768000000000004"/>
  </r>
  <r>
    <s v="CA-2017-132976"/>
    <d v="2017-10-13T00:00:00"/>
    <x v="4"/>
    <x v="0"/>
    <s v="Philadelphia"/>
    <x v="2"/>
    <s v="Adams Write n' Stick Phone Message Book, 11&quot; X 5 1/4&quot;, 200 Messages"/>
    <x v="341"/>
    <n v="4"/>
    <n v="0.2"/>
    <n v="5.9071999999999996"/>
  </r>
  <r>
    <s v="CA-2017-132976"/>
    <d v="2017-10-13T00:00:00"/>
    <x v="4"/>
    <x v="0"/>
    <s v="Philadelphia"/>
    <x v="2"/>
    <s v="Eldon Simplefile Box Office"/>
    <x v="342"/>
    <n v="6"/>
    <n v="0.2"/>
    <n v="5.9711999999999996"/>
  </r>
  <r>
    <s v="CA-2017-132976"/>
    <d v="2017-10-13T00:00:00"/>
    <x v="4"/>
    <x v="0"/>
    <s v="Philadelphia"/>
    <x v="2"/>
    <s v="Avery 489"/>
    <x v="343"/>
    <n v="3"/>
    <n v="0.2"/>
    <n v="8.6940000000000008"/>
  </r>
  <r>
    <s v="CA-2017-134306"/>
    <d v="2017-07-08T00:00:00"/>
    <x v="8"/>
    <x v="0"/>
    <s v="Lowell"/>
    <x v="2"/>
    <s v="Binney &amp; Smith inkTank Erasable Desk Highlighter, Chisel Tip, Yellow, 12/Box"/>
    <x v="194"/>
    <n v="3"/>
    <n v="0"/>
    <n v="3.0996000000000001"/>
  </r>
  <r>
    <s v="CA-2017-134306"/>
    <d v="2017-07-08T00:00:00"/>
    <x v="8"/>
    <x v="0"/>
    <s v="Lowell"/>
    <x v="2"/>
    <s v="Easy-staple paper"/>
    <x v="236"/>
    <n v="2"/>
    <n v="0"/>
    <n v="11.543200000000001"/>
  </r>
  <r>
    <s v="CA-2017-134306"/>
    <d v="2017-07-08T00:00:00"/>
    <x v="8"/>
    <x v="0"/>
    <s v="Lowell"/>
    <x v="2"/>
    <s v="BIC Brite Liner Highlighters, Chisel Tip"/>
    <x v="146"/>
    <n v="2"/>
    <n v="0"/>
    <n v="4.1471999999999998"/>
  </r>
  <r>
    <s v="CA-2017-135860"/>
    <d v="2017-12-01T00:00:00"/>
    <x v="3"/>
    <x v="2"/>
    <s v="Saginaw"/>
    <x v="2"/>
    <s v="Tennsco Lockers, Gray"/>
    <x v="344"/>
    <n v="4"/>
    <n v="0"/>
    <n v="5.8743999999999996"/>
  </r>
  <r>
    <s v="CA-2017-135860"/>
    <d v="2017-12-01T00:00:00"/>
    <x v="3"/>
    <x v="2"/>
    <s v="Saginaw"/>
    <x v="0"/>
    <s v="Panasonic KX-TG6844B Expandable Digital Cordless Telephone"/>
    <x v="345"/>
    <n v="2"/>
    <n v="0"/>
    <n v="35.634599999999999"/>
  </r>
  <r>
    <s v="CA-2017-135860"/>
    <d v="2017-12-01T00:00:00"/>
    <x v="3"/>
    <x v="2"/>
    <s v="Saginaw"/>
    <x v="2"/>
    <s v="Avery Durable Slant Ring Binders, No Labels"/>
    <x v="346"/>
    <n v="4"/>
    <n v="0"/>
    <n v="7.4824000000000002"/>
  </r>
  <r>
    <s v="CA-2017-135860"/>
    <d v="2017-12-01T00:00:00"/>
    <x v="3"/>
    <x v="2"/>
    <s v="Saginaw"/>
    <x v="2"/>
    <s v="Advantus Push Pins, Aluminum Head"/>
    <x v="347"/>
    <n v="9"/>
    <n v="0"/>
    <n v="16.209900000000001"/>
  </r>
  <r>
    <s v="CA-2017-135860"/>
    <d v="2017-12-01T00:00:00"/>
    <x v="3"/>
    <x v="2"/>
    <s v="Saginaw"/>
    <x v="2"/>
    <s v="Gould Plastics 18-Pocket Panel Bin, 34w x 5-1/4d x 20-1/2h"/>
    <x v="348"/>
    <n v="1"/>
    <n v="0"/>
    <n v="3.6796000000000002"/>
  </r>
  <r>
    <s v="CA-2017-136826"/>
    <d v="2017-06-16T00:00:00"/>
    <x v="5"/>
    <x v="3"/>
    <s v="Chapel Hill"/>
    <x v="2"/>
    <s v="Quartet Omega Colored Chalk, 12/Pack"/>
    <x v="349"/>
    <n v="3"/>
    <n v="0.2"/>
    <n v="4.7304000000000004"/>
  </r>
  <r>
    <s v="CA-2017-139619"/>
    <d v="2017-09-19T00:00:00"/>
    <x v="0"/>
    <x v="3"/>
    <s v="Melbourne"/>
    <x v="2"/>
    <s v="Advantus 10-Drawer Portable Organizer, Chrome Metal Frame, Smoke Drawers"/>
    <x v="350"/>
    <n v="2"/>
    <n v="0.2"/>
    <n v="9.5616000000000003"/>
  </r>
  <r>
    <s v="CA-2017-140088"/>
    <d v="2017-05-28T00:00:00"/>
    <x v="9"/>
    <x v="3"/>
    <s v="Columbia"/>
    <x v="1"/>
    <s v="Novimex Swivel Fabric Task Chair"/>
    <x v="351"/>
    <n v="2"/>
    <n v="0"/>
    <n v="33.215600000000002"/>
  </r>
  <r>
    <s v="CA-2017-140963"/>
    <d v="2017-06-10T00:00:00"/>
    <x v="5"/>
    <x v="1"/>
    <s v="Los Angeles"/>
    <x v="2"/>
    <s v="Alphabetical Labels for Top Tab Filing"/>
    <x v="352"/>
    <n v="2"/>
    <n v="0"/>
    <n v="14.8"/>
  </r>
  <r>
    <s v="CA-2017-140963"/>
    <d v="2017-06-10T00:00:00"/>
    <x v="5"/>
    <x v="1"/>
    <s v="Los Angeles"/>
    <x v="1"/>
    <s v="O'Sullivan Living Dimensions 2-Shelf Bookcases"/>
    <x v="353"/>
    <n v="5"/>
    <n v="0.15"/>
    <n v="-30.245000000000001"/>
  </r>
  <r>
    <s v="CA-2017-140963"/>
    <d v="2017-06-10T00:00:00"/>
    <x v="5"/>
    <x v="1"/>
    <s v="Los Angeles"/>
    <x v="0"/>
    <s v="iHome FM Clock Radio with Lightning Dock"/>
    <x v="354"/>
    <n v="5"/>
    <n v="0.2"/>
    <n v="17.497499999999999"/>
  </r>
  <r>
    <s v="CA-2017-142636"/>
    <d v="2017-11-03T00:00:00"/>
    <x v="2"/>
    <x v="1"/>
    <s v="Seattle"/>
    <x v="2"/>
    <s v="Xerox 191"/>
    <x v="355"/>
    <n v="7"/>
    <n v="0"/>
    <n v="65.734200000000001"/>
  </r>
  <r>
    <s v="CA-2017-142636"/>
    <d v="2017-11-03T00:00:00"/>
    <x v="2"/>
    <x v="1"/>
    <s v="Seattle"/>
    <x v="1"/>
    <s v="Global Deluxe Office Fabric Chairs"/>
    <x v="356"/>
    <n v="4"/>
    <n v="0.2"/>
    <n v="26.874400000000001"/>
  </r>
  <r>
    <s v="CA-2017-144904"/>
    <d v="2017-09-25T00:00:00"/>
    <x v="0"/>
    <x v="0"/>
    <s v="New York City"/>
    <x v="2"/>
    <s v="Avery Address/Shipping Labels for Typewriters, 4&quot; x 2&quot;"/>
    <x v="357"/>
    <n v="2"/>
    <n v="0"/>
    <n v="9.9359999999999999"/>
  </r>
  <r>
    <s v="CA-2017-144904"/>
    <d v="2017-09-25T00:00:00"/>
    <x v="0"/>
    <x v="0"/>
    <s v="New York City"/>
    <x v="1"/>
    <s v="Global Ergonomic Managers Chair"/>
    <x v="358"/>
    <n v="3"/>
    <n v="0.1"/>
    <n v="86.870400000000004"/>
  </r>
  <r>
    <s v="CA-2017-144904"/>
    <d v="2017-09-25T00:00:00"/>
    <x v="0"/>
    <x v="0"/>
    <s v="New York City"/>
    <x v="2"/>
    <s v="Newell 333"/>
    <x v="359"/>
    <n v="2"/>
    <n v="0"/>
    <n v="1.4456"/>
  </r>
  <r>
    <s v="CA-2017-144904"/>
    <d v="2017-09-25T00:00:00"/>
    <x v="0"/>
    <x v="0"/>
    <s v="New York City"/>
    <x v="1"/>
    <s v="Eldon Wave Desk Accessories"/>
    <x v="360"/>
    <n v="8"/>
    <n v="0"/>
    <n v="20.732800000000001"/>
  </r>
  <r>
    <s v="CA-2017-146780"/>
    <d v="2017-12-25T00:00:00"/>
    <x v="3"/>
    <x v="0"/>
    <s v="New York City"/>
    <x v="1"/>
    <s v="Magnifier Swing Arm Lamp"/>
    <x v="361"/>
    <n v="2"/>
    <n v="0"/>
    <n v="10.909599999999999"/>
  </r>
  <r>
    <s v="CA-2017-147277"/>
    <d v="2017-10-20T00:00:00"/>
    <x v="4"/>
    <x v="0"/>
    <s v="Akron"/>
    <x v="1"/>
    <s v="Chromcraft Rectangular Conference Tables"/>
    <x v="362"/>
    <n v="2"/>
    <n v="0.4"/>
    <n v="-75.830399999999997"/>
  </r>
  <r>
    <s v="CA-2017-147277"/>
    <d v="2017-10-20T00:00:00"/>
    <x v="4"/>
    <x v="0"/>
    <s v="Akron"/>
    <x v="2"/>
    <s v="Deluxe Rollaway Locking File with Drawer"/>
    <x v="363"/>
    <n v="2"/>
    <n v="0.2"/>
    <n v="66.540800000000004"/>
  </r>
  <r>
    <s v="CA-2017-149160"/>
    <d v="2017-11-23T00:00:00"/>
    <x v="2"/>
    <x v="2"/>
    <s v="Canton"/>
    <x v="1"/>
    <s v="Coloredge Poster Frame"/>
    <x v="276"/>
    <n v="2"/>
    <n v="0"/>
    <n v="11.076000000000001"/>
  </r>
  <r>
    <s v="CA-2017-149160"/>
    <d v="2017-11-23T00:00:00"/>
    <x v="2"/>
    <x v="2"/>
    <s v="Canton"/>
    <x v="2"/>
    <s v="GBC VeloBinder Manual Binding System"/>
    <x v="364"/>
    <n v="8"/>
    <n v="0"/>
    <n v="138.20160000000001"/>
  </r>
  <r>
    <s v="CA-2017-152275"/>
    <d v="2017-10-01T00:00:00"/>
    <x v="4"/>
    <x v="2"/>
    <s v="San Antonio"/>
    <x v="2"/>
    <s v="Design Ebony Sketching Pencil"/>
    <x v="365"/>
    <n v="6"/>
    <n v="0.2"/>
    <n v="0.50039999999999996"/>
  </r>
  <r>
    <s v="CA-2017-153339"/>
    <d v="2017-11-03T00:00:00"/>
    <x v="2"/>
    <x v="3"/>
    <s v="Murfreesboro"/>
    <x v="1"/>
    <s v="Telescoping Adjustable Floor Lamp"/>
    <x v="366"/>
    <n v="1"/>
    <n v="0.2"/>
    <n v="0.99950000000000006"/>
  </r>
  <r>
    <s v="CA-2017-154214"/>
    <d v="2017-03-20T00:00:00"/>
    <x v="1"/>
    <x v="2"/>
    <s v="Columbus"/>
    <x v="1"/>
    <s v="GE General Purpose, Extra Long Life, Showcase &amp; Floodlight Incandescent Bulbs"/>
    <x v="367"/>
    <n v="1"/>
    <n v="0"/>
    <n v="1.3676999999999999"/>
  </r>
  <r>
    <s v="CA-2017-154816"/>
    <d v="2017-11-06T00:00:00"/>
    <x v="2"/>
    <x v="3"/>
    <s v="Richmond"/>
    <x v="2"/>
    <s v="Xerox 1987"/>
    <x v="368"/>
    <n v="1"/>
    <n v="0"/>
    <n v="2.8321999999999998"/>
  </r>
  <r>
    <s v="CA-2017-154907"/>
    <d v="2017-03-31T00:00:00"/>
    <x v="1"/>
    <x v="2"/>
    <s v="Amarillo"/>
    <x v="1"/>
    <s v="Bush Mission Pointe Library"/>
    <x v="369"/>
    <n v="2"/>
    <n v="0.32"/>
    <n v="-36.235199999999999"/>
  </r>
  <r>
    <s v="CA-2017-155376"/>
    <d v="2017-12-22T00:00:00"/>
    <x v="3"/>
    <x v="2"/>
    <s v="Independence"/>
    <x v="2"/>
    <s v="Sanyo 2.5 Cubic Foot Mid-Size Office Refrigerators"/>
    <x v="370"/>
    <n v="3"/>
    <n v="0"/>
    <n v="218.2518"/>
  </r>
  <r>
    <s v="CA-2017-155558"/>
    <d v="2017-10-26T00:00:00"/>
    <x v="4"/>
    <x v="2"/>
    <s v="Rochester"/>
    <x v="0"/>
    <s v="LogitechÂ LS21 Speaker System - PC Multimedia - 2.1-CH - Wired"/>
    <x v="371"/>
    <n v="1"/>
    <n v="0"/>
    <n v="6.7965999999999998"/>
  </r>
  <r>
    <s v="CA-2017-155558"/>
    <d v="2017-10-26T00:00:00"/>
    <x v="4"/>
    <x v="2"/>
    <s v="Rochester"/>
    <x v="2"/>
    <s v="Avery 511"/>
    <x v="106"/>
    <n v="2"/>
    <n v="0"/>
    <n v="2.9567999999999999"/>
  </r>
  <r>
    <s v="CA-2017-155698"/>
    <d v="2017-03-08T00:00:00"/>
    <x v="1"/>
    <x v="3"/>
    <s v="Columbus"/>
    <x v="2"/>
    <s v="Belkin 8 Outlet SurgeMaster II Gold Surge Protector with Phone Protection"/>
    <x v="372"/>
    <n v="8"/>
    <n v="0"/>
    <n v="168.4384"/>
  </r>
  <r>
    <s v="CA-2017-155698"/>
    <d v="2017-03-08T00:00:00"/>
    <x v="1"/>
    <x v="3"/>
    <s v="Columbus"/>
    <x v="2"/>
    <s v="Avery Address/Shipping Labels for Typewriters, 4&quot; x 2&quot;"/>
    <x v="357"/>
    <n v="2"/>
    <n v="0"/>
    <n v="9.9359999999999999"/>
  </r>
  <r>
    <s v="CA-2017-155705"/>
    <d v="2017-08-21T00:00:00"/>
    <x v="6"/>
    <x v="3"/>
    <s v="Jackson"/>
    <x v="1"/>
    <s v="Hon Multipurpose Stacking Arm Chairs"/>
    <x v="373"/>
    <n v="4"/>
    <n v="0"/>
    <n v="225.26400000000001"/>
  </r>
  <r>
    <s v="CA-2017-157252"/>
    <d v="2017-01-20T00:00:00"/>
    <x v="11"/>
    <x v="0"/>
    <s v="New York City"/>
    <x v="1"/>
    <s v="Global Deluxe Steno Chair"/>
    <x v="374"/>
    <n v="3"/>
    <n v="0.1"/>
    <n v="2.3094000000000001"/>
  </r>
  <r>
    <s v="CA-2017-157833"/>
    <d v="2017-06-17T00:00:00"/>
    <x v="5"/>
    <x v="1"/>
    <s v="San Francisco"/>
    <x v="2"/>
    <s v="Trimflex Flexible Post Binders"/>
    <x v="101"/>
    <n v="3"/>
    <n v="0.2"/>
    <n v="17.959199999999999"/>
  </r>
  <r>
    <s v="CA-2017-160514"/>
    <d v="2017-11-12T00:00:00"/>
    <x v="2"/>
    <x v="1"/>
    <s v="Santa Clara"/>
    <x v="2"/>
    <s v="Xerox 4200 Series MultiUse Premium Copy Paper (20Lb. and 84 Bright)"/>
    <x v="375"/>
    <n v="2"/>
    <n v="0"/>
    <n v="4.7519999999999998"/>
  </r>
  <r>
    <s v="CA-2017-161018"/>
    <d v="2017-11-09T00:00:00"/>
    <x v="2"/>
    <x v="0"/>
    <s v="New York City"/>
    <x v="1"/>
    <s v="9-3/4 Diameter Round Wall Clock"/>
    <x v="376"/>
    <n v="7"/>
    <n v="0"/>
    <n v="40.5426"/>
  </r>
  <r>
    <s v="CA-2017-163139"/>
    <d v="2017-12-01T00:00:00"/>
    <x v="3"/>
    <x v="0"/>
    <s v="New York City"/>
    <x v="0"/>
    <s v="Sabrent 4-Port USB 2.0 Hub"/>
    <x v="377"/>
    <n v="3"/>
    <n v="0"/>
    <n v="6.9257999999999997"/>
  </r>
  <r>
    <s v="CA-2017-163139"/>
    <d v="2017-12-01T00:00:00"/>
    <x v="3"/>
    <x v="0"/>
    <s v="New York City"/>
    <x v="2"/>
    <s v="Safco Industrial Shelving"/>
    <x v="378"/>
    <n v="3"/>
    <n v="0"/>
    <n v="6.6464999999999996"/>
  </r>
  <r>
    <s v="CA-2017-163139"/>
    <d v="2017-12-01T00:00:00"/>
    <x v="3"/>
    <x v="0"/>
    <s v="New York City"/>
    <x v="2"/>
    <s v="Acco 3-Hole Punch"/>
    <x v="379"/>
    <n v="5"/>
    <n v="0.2"/>
    <n v="6.1319999999999997"/>
  </r>
  <r>
    <s v="CA-2017-163979"/>
    <d v="2017-12-28T00:00:00"/>
    <x v="3"/>
    <x v="1"/>
    <s v="San Francisco"/>
    <x v="2"/>
    <s v="Adjustable Depth Letter/Legal Cart"/>
    <x v="380"/>
    <n v="4"/>
    <n v="0"/>
    <n v="210.49359999999999"/>
  </r>
  <r>
    <s v="CA-2017-165603"/>
    <d v="2017-10-17T00:00:00"/>
    <x v="4"/>
    <x v="0"/>
    <s v="Warwick"/>
    <x v="2"/>
    <s v="2300 Heavy-Duty Transfer File Systems by Perma"/>
    <x v="381"/>
    <n v="2"/>
    <n v="0"/>
    <n v="9.4923999999999999"/>
  </r>
  <r>
    <s v="CA-2017-165603"/>
    <d v="2017-10-17T00:00:00"/>
    <x v="4"/>
    <x v="0"/>
    <s v="Warwick"/>
    <x v="2"/>
    <s v="Xerox 1958"/>
    <x v="146"/>
    <n v="2"/>
    <n v="0"/>
    <n v="6.2207999999999997"/>
  </r>
  <r>
    <s v="CA-2017-169901"/>
    <d v="2017-06-15T00:00:00"/>
    <x v="5"/>
    <x v="1"/>
    <s v="San Francisco"/>
    <x v="0"/>
    <s v="Anker 36W 4-Port USB Wall Charger Travel Power Adapter for iPhone 5s 5c 5"/>
    <x v="382"/>
    <n v="3"/>
    <n v="0.2"/>
    <n v="4.7976000000000001"/>
  </r>
  <r>
    <s v="US-2014-100853"/>
    <d v="2014-09-14T00:00:00"/>
    <x v="0"/>
    <x v="2"/>
    <s v="Chicago"/>
    <x v="2"/>
    <s v="Kensington 7 Outlet MasterPiece HOMEOFFICE Power Control Center"/>
    <x v="383"/>
    <n v="2"/>
    <n v="0.8"/>
    <n v="-131.12"/>
  </r>
  <r>
    <s v="US-2014-100853"/>
    <d v="2014-09-14T00:00:00"/>
    <x v="0"/>
    <x v="2"/>
    <s v="Chicago"/>
    <x v="2"/>
    <s v="Avery 51"/>
    <x v="384"/>
    <n v="4"/>
    <n v="0.2"/>
    <n v="6.5519999999999996"/>
  </r>
  <r>
    <s v="US-2014-106992"/>
    <d v="2014-09-19T00:00:00"/>
    <x v="0"/>
    <x v="2"/>
    <s v="Houston"/>
    <x v="0"/>
    <s v="Lexmark MX611dhe Monochrome Laser Printer"/>
    <x v="385"/>
    <n v="3"/>
    <n v="0.4"/>
    <n v="-509.99700000000001"/>
  </r>
  <r>
    <s v="US-2014-106992"/>
    <d v="2014-09-19T00:00:00"/>
    <x v="0"/>
    <x v="2"/>
    <s v="Houston"/>
    <x v="0"/>
    <s v="Xerox WorkCentre 6505DN Laser Multifunction Printer"/>
    <x v="386"/>
    <n v="7"/>
    <n v="0.4"/>
    <n v="-251.9958"/>
  </r>
  <r>
    <s v="US-2014-110674"/>
    <d v="2014-02-12T00:00:00"/>
    <x v="10"/>
    <x v="1"/>
    <s v="Concord"/>
    <x v="1"/>
    <s v="Global Geo Office Task Chair, Gray"/>
    <x v="387"/>
    <n v="2"/>
    <n v="0.2"/>
    <n v="-24.294"/>
  </r>
  <r>
    <s v="US-2014-119137"/>
    <d v="2014-07-23T00:00:00"/>
    <x v="8"/>
    <x v="1"/>
    <s v="Tucson"/>
    <x v="2"/>
    <s v="Wilson Jones Custom Binder Spines &amp; Labels"/>
    <x v="388"/>
    <n v="5"/>
    <n v="0.7"/>
    <n v="-5.7119999999999997"/>
  </r>
  <r>
    <s v="US-2014-119137"/>
    <d v="2014-07-23T00:00:00"/>
    <x v="8"/>
    <x v="1"/>
    <s v="Tucson"/>
    <x v="0"/>
    <s v="NETGEAR AC1750 Dual Band GigabitÂ Smart WiFi Router"/>
    <x v="389"/>
    <n v="8"/>
    <n v="0.2"/>
    <n v="179.18879999999999"/>
  </r>
  <r>
    <s v="US-2014-119137"/>
    <d v="2014-07-23T00:00:00"/>
    <x v="8"/>
    <x v="1"/>
    <s v="Tucson"/>
    <x v="2"/>
    <s v="Newell 324"/>
    <x v="390"/>
    <n v="1"/>
    <n v="0.2"/>
    <n v="0.92400000000000004"/>
  </r>
  <r>
    <s v="US-2014-119137"/>
    <d v="2014-07-23T00:00:00"/>
    <x v="8"/>
    <x v="1"/>
    <s v="Tucson"/>
    <x v="0"/>
    <s v="Microsoft Natural Keyboard Elite"/>
    <x v="391"/>
    <n v="10"/>
    <n v="0.2"/>
    <n v="-29.94"/>
  </r>
  <r>
    <s v="US-2014-134614"/>
    <d v="2014-09-20T00:00:00"/>
    <x v="0"/>
    <x v="2"/>
    <s v="Bloomington"/>
    <x v="1"/>
    <s v="Bevis 44 x 96 Conference Tables"/>
    <x v="392"/>
    <n v="6"/>
    <n v="0.5"/>
    <n v="-407.68200000000002"/>
  </r>
  <r>
    <s v="US-2014-134971"/>
    <d v="2014-06-07T00:00:00"/>
    <x v="5"/>
    <x v="2"/>
    <s v="Peoria"/>
    <x v="2"/>
    <s v="Wilson Jones Century Plastic Molded Ring Binders"/>
    <x v="393"/>
    <n v="3"/>
    <n v="0.8"/>
    <n v="-20.5623"/>
  </r>
  <r>
    <s v="US-2014-135972"/>
    <d v="2014-09-21T00:00:00"/>
    <x v="0"/>
    <x v="1"/>
    <s v="Des Moines"/>
    <x v="0"/>
    <s v="Nortel Meridian M3904 Professional Digital phone"/>
    <x v="394"/>
    <n v="2"/>
    <n v="0.2"/>
    <n v="27.7182"/>
  </r>
  <r>
    <s v="US-2014-135972"/>
    <d v="2014-09-21T00:00:00"/>
    <x v="0"/>
    <x v="1"/>
    <s v="Des Moines"/>
    <x v="0"/>
    <s v="Canon PC1080F Personal Copier"/>
    <x v="395"/>
    <n v="3"/>
    <n v="0"/>
    <n v="701.98829999999998"/>
  </r>
  <r>
    <s v="US-2014-147606"/>
    <d v="2014-11-26T00:00:00"/>
    <x v="2"/>
    <x v="2"/>
    <s v="Houston"/>
    <x v="1"/>
    <s v="Eldon Expressions Desk Accessory, Wood Pencil Holder, Oak"/>
    <x v="396"/>
    <n v="5"/>
    <n v="0.6"/>
    <n v="-14.475"/>
  </r>
  <r>
    <s v="US-2014-150574"/>
    <d v="2014-12-19T00:00:00"/>
    <x v="3"/>
    <x v="3"/>
    <s v="Jacksonville"/>
    <x v="2"/>
    <s v="Insertable Tab Post Binder Dividers"/>
    <x v="397"/>
    <n v="2"/>
    <n v="0.7"/>
    <n v="-3.6892"/>
  </r>
  <r>
    <s v="US-2014-150574"/>
    <d v="2014-12-19T00:00:00"/>
    <x v="3"/>
    <x v="3"/>
    <s v="Jacksonville"/>
    <x v="0"/>
    <s v="Belkin QODE FastFit Bluetooth Keyboard"/>
    <x v="398"/>
    <n v="5"/>
    <n v="0.2"/>
    <n v="-18.585000000000001"/>
  </r>
  <r>
    <s v="US-2014-152030"/>
    <d v="2014-12-26T00:00:00"/>
    <x v="3"/>
    <x v="2"/>
    <s v="Houston"/>
    <x v="1"/>
    <s v="Global Deluxe High-Back Manager's Chair"/>
    <x v="399"/>
    <n v="3"/>
    <n v="0.3"/>
    <n v="-8.5793999999999997"/>
  </r>
  <r>
    <s v="US-2014-156216"/>
    <d v="2014-09-13T00:00:00"/>
    <x v="0"/>
    <x v="3"/>
    <s v="Charlotte"/>
    <x v="2"/>
    <s v="GBC Instant Index System for Binding Systems"/>
    <x v="400"/>
    <n v="7"/>
    <n v="0.7"/>
    <n v="-12.432"/>
  </r>
  <r>
    <s v="US-2015-101399"/>
    <d v="2015-01-17T00:00:00"/>
    <x v="11"/>
    <x v="2"/>
    <s v="Park Ridge"/>
    <x v="1"/>
    <s v="Eldon ClusterMat Chair Mat with Cordless Antistatic Protection"/>
    <x v="401"/>
    <n v="7"/>
    <n v="0.6"/>
    <n v="-312.06139999999999"/>
  </r>
  <r>
    <s v="US-2015-101511"/>
    <d v="2015-11-21T00:00:00"/>
    <x v="2"/>
    <x v="0"/>
    <s v="Newark"/>
    <x v="1"/>
    <s v="Padded Folding Chairs, Black, 4/Carton"/>
    <x v="402"/>
    <n v="7"/>
    <n v="0.3"/>
    <n v="-11.337199999999999"/>
  </r>
  <r>
    <s v="US-2015-101511"/>
    <d v="2015-11-21T00:00:00"/>
    <x v="2"/>
    <x v="0"/>
    <s v="Newark"/>
    <x v="2"/>
    <s v="Acme Rosewood Handle Letter Opener"/>
    <x v="403"/>
    <n v="5"/>
    <n v="0.2"/>
    <n v="-3.7715000000000001"/>
  </r>
  <r>
    <s v="US-2015-108966"/>
    <d v="2015-10-11T00:00:00"/>
    <x v="4"/>
    <x v="3"/>
    <s v="Fort Lauderdale"/>
    <x v="1"/>
    <s v="Bretford CR4500 Series Slim Rectangular Table"/>
    <x v="404"/>
    <n v="5"/>
    <n v="0.45"/>
    <n v="-383.03100000000001"/>
  </r>
  <r>
    <s v="US-2015-108966"/>
    <d v="2015-10-11T00:00:00"/>
    <x v="4"/>
    <x v="3"/>
    <s v="Fort Lauderdale"/>
    <x v="2"/>
    <s v="Eldon Fold 'N Roll Cart System"/>
    <x v="405"/>
    <n v="2"/>
    <n v="0.2"/>
    <n v="2.5164"/>
  </r>
  <r>
    <s v="US-2015-118983"/>
    <d v="2015-11-22T00:00:00"/>
    <x v="2"/>
    <x v="2"/>
    <s v="Fort Worth"/>
    <x v="2"/>
    <s v="Holmes Replacement Filter for HEPA Air Cleaner, Very Large Room, HEPA Filter"/>
    <x v="406"/>
    <n v="5"/>
    <n v="0.8"/>
    <n v="-123.858"/>
  </r>
  <r>
    <s v="US-2015-118983"/>
    <d v="2015-11-22T00:00:00"/>
    <x v="2"/>
    <x v="2"/>
    <s v="Fort Worth"/>
    <x v="2"/>
    <s v="Storex DuraTech Recycled Plastic Frosted Binders"/>
    <x v="407"/>
    <n v="3"/>
    <n v="0.8"/>
    <n v="-3.8159999999999998"/>
  </r>
  <r>
    <s v="US-2015-120712"/>
    <d v="2015-12-20T00:00:00"/>
    <x v="3"/>
    <x v="2"/>
    <s v="Austin"/>
    <x v="2"/>
    <s v="Fellowes Super Stor/Drawer"/>
    <x v="408"/>
    <n v="4"/>
    <n v="0.2"/>
    <n v="-2.2200000000000002"/>
  </r>
  <r>
    <s v="US-2015-134026"/>
    <d v="2015-04-26T00:00:00"/>
    <x v="7"/>
    <x v="3"/>
    <s v="Memphis"/>
    <x v="1"/>
    <s v="High-Back Leather Manager's Chair"/>
    <x v="409"/>
    <n v="8"/>
    <n v="0.2"/>
    <n v="-114.3912"/>
  </r>
  <r>
    <s v="US-2015-134026"/>
    <d v="2015-04-26T00:00:00"/>
    <x v="7"/>
    <x v="3"/>
    <s v="Memphis"/>
    <x v="1"/>
    <s v="Tenex Traditional Chairmats for Medium Pile Carpet, Standard Lip, 36&quot; x 48&quot;"/>
    <x v="410"/>
    <n v="2"/>
    <n v="0.2"/>
    <n v="1.2130000000000001"/>
  </r>
  <r>
    <s v="US-2015-134026"/>
    <d v="2015-04-26T00:00:00"/>
    <x v="7"/>
    <x v="3"/>
    <s v="Memphis"/>
    <x v="2"/>
    <s v="Safco Industrial Wire Shelving System"/>
    <x v="411"/>
    <n v="1"/>
    <n v="0.2"/>
    <n v="-18.196000000000002"/>
  </r>
  <r>
    <s v="US-2015-136476"/>
    <d v="2015-04-05T00:00:00"/>
    <x v="7"/>
    <x v="3"/>
    <s v="Bristol"/>
    <x v="2"/>
    <s v="GBC DocuBind 300 Electric Binding Machine"/>
    <x v="412"/>
    <n v="1"/>
    <n v="0.7"/>
    <n v="-115.71559999999999"/>
  </r>
  <r>
    <s v="US-2015-145436"/>
    <d v="2015-02-28T00:00:00"/>
    <x v="10"/>
    <x v="3"/>
    <s v="Columbia"/>
    <x v="1"/>
    <s v="Global Low Back Tilter Chair"/>
    <x v="413"/>
    <n v="2"/>
    <n v="0.2"/>
    <n v="-28.2744"/>
  </r>
  <r>
    <s v="US-2015-145436"/>
    <d v="2015-02-28T00:00:00"/>
    <x v="10"/>
    <x v="3"/>
    <s v="Columbia"/>
    <x v="1"/>
    <s v="Global Push Button Manager's Chair, Indigo"/>
    <x v="414"/>
    <n v="8"/>
    <n v="0.2"/>
    <n v="43.840800000000002"/>
  </r>
  <r>
    <s v="US-2015-150630"/>
    <d v="2015-09-17T00:00:00"/>
    <x v="0"/>
    <x v="0"/>
    <s v="Philadelphia"/>
    <x v="1"/>
    <s v="Riverside Palais Royal Lawyers Bookcase, Royale Cherry Finish"/>
    <x v="415"/>
    <n v="7"/>
    <n v="0.5"/>
    <n v="-1665.0522000000001"/>
  </r>
  <r>
    <s v="US-2015-150630"/>
    <d v="2015-09-17T00:00:00"/>
    <x v="0"/>
    <x v="0"/>
    <s v="Philadelphia"/>
    <x v="2"/>
    <s v="Avery Recycled Flexi-View Covers for Binding Systems"/>
    <x v="416"/>
    <n v="2"/>
    <n v="0.7"/>
    <n v="-7.0532000000000004"/>
  </r>
  <r>
    <s v="US-2015-150630"/>
    <d v="2015-09-17T00:00:00"/>
    <x v="0"/>
    <x v="0"/>
    <s v="Philadelphia"/>
    <x v="1"/>
    <s v="Howard Miller 13-3/4&quot; Diameter Brushed Chrome Round Wall Clock"/>
    <x v="417"/>
    <n v="3"/>
    <n v="0.2"/>
    <n v="15.525"/>
  </r>
  <r>
    <s v="US-2015-150630"/>
    <d v="2015-09-17T00:00:00"/>
    <x v="0"/>
    <x v="0"/>
    <s v="Philadelphia"/>
    <x v="2"/>
    <s v="Poly String Tie Envelopes"/>
    <x v="418"/>
    <n v="2"/>
    <n v="0.2"/>
    <n v="1.1015999999999999"/>
  </r>
  <r>
    <s v="US-2015-150630"/>
    <d v="2015-09-17T00:00:00"/>
    <x v="0"/>
    <x v="0"/>
    <s v="Philadelphia"/>
    <x v="2"/>
    <s v="BOSTON Model 1800 Electric Pencil Sharpeners, Putty/Woodgrain"/>
    <x v="419"/>
    <n v="6"/>
    <n v="0.2"/>
    <n v="9.7091999999999992"/>
  </r>
  <r>
    <s v="US-2015-150630"/>
    <d v="2015-09-17T00:00:00"/>
    <x v="0"/>
    <x v="0"/>
    <s v="Philadelphia"/>
    <x v="2"/>
    <s v="Acco Pressboard Covers with Storage Hooks, 14 7/8&quot; x 11&quot;, Executive Red"/>
    <x v="420"/>
    <n v="6"/>
    <n v="0.7"/>
    <n v="-5.7149999999999999"/>
  </r>
  <r>
    <s v="US-2015-150630"/>
    <d v="2015-09-17T00:00:00"/>
    <x v="0"/>
    <x v="0"/>
    <s v="Philadelphia"/>
    <x v="2"/>
    <s v="Lumber Crayons"/>
    <x v="421"/>
    <n v="2"/>
    <n v="0.2"/>
    <n v="3.5459999999999998"/>
  </r>
  <r>
    <s v="US-2015-156867"/>
    <d v="2015-11-13T00:00:00"/>
    <x v="2"/>
    <x v="1"/>
    <s v="Aurora"/>
    <x v="0"/>
    <s v="Logitech K350 2.4Ghz Wireless Keyboard"/>
    <x v="422"/>
    <n v="6"/>
    <n v="0.2"/>
    <n v="-26.875800000000002"/>
  </r>
  <r>
    <s v="US-2015-156867"/>
    <d v="2015-11-13T00:00:00"/>
    <x v="2"/>
    <x v="1"/>
    <s v="Aurora"/>
    <x v="1"/>
    <s v="Deflect-o DuraMat Lighweight, Studded, Beveled Mat for Low Pile Carpeting"/>
    <x v="423"/>
    <n v="3"/>
    <n v="0.2"/>
    <n v="-3.8384999999999998"/>
  </r>
  <r>
    <s v="US-2015-156867"/>
    <d v="2015-11-13T00:00:00"/>
    <x v="2"/>
    <x v="1"/>
    <s v="Aurora"/>
    <x v="2"/>
    <s v="Avery Trapezoid Ring Binder, 3&quot; Capacity, Black, 1040 sheets"/>
    <x v="424"/>
    <n v="3"/>
    <n v="0.7"/>
    <n v="-25.817399999999999"/>
  </r>
  <r>
    <s v="US-2015-159982"/>
    <d v="2015-11-28T00:00:00"/>
    <x v="2"/>
    <x v="2"/>
    <s v="Chicago"/>
    <x v="1"/>
    <s v="Eldon 100 Class Desk Accessories"/>
    <x v="425"/>
    <n v="9"/>
    <n v="0.6"/>
    <n v="-8.4923999999999999"/>
  </r>
  <r>
    <s v="US-2015-159982"/>
    <d v="2015-11-28T00:00:00"/>
    <x v="2"/>
    <x v="2"/>
    <s v="Chicago"/>
    <x v="2"/>
    <s v="Belkin 19&quot; Vented Equipment Shelf, Black"/>
    <x v="426"/>
    <n v="2"/>
    <n v="0.2"/>
    <n v="-19.5624"/>
  </r>
  <r>
    <s v="US-2015-159982"/>
    <d v="2015-11-28T00:00:00"/>
    <x v="2"/>
    <x v="2"/>
    <s v="Chicago"/>
    <x v="2"/>
    <s v="Tenex Personal Project File with Scoop Front Design, Black"/>
    <x v="427"/>
    <n v="5"/>
    <n v="0.2"/>
    <n v="4.0439999999999996"/>
  </r>
  <r>
    <s v="US-2015-159982"/>
    <d v="2015-11-28T00:00:00"/>
    <x v="2"/>
    <x v="2"/>
    <s v="Chicago"/>
    <x v="0"/>
    <s v="Logitech Mobile Speakerphone P710e -Â speaker phone"/>
    <x v="428"/>
    <n v="6"/>
    <n v="0.2"/>
    <n v="56.691600000000001"/>
  </r>
  <r>
    <s v="US-2015-161991"/>
    <d v="2015-09-26T00:00:00"/>
    <x v="0"/>
    <x v="2"/>
    <s v="Houston"/>
    <x v="2"/>
    <s v="Round Ring Binders"/>
    <x v="429"/>
    <n v="5"/>
    <n v="0.8"/>
    <n v="-3.4319999999999999"/>
  </r>
  <r>
    <s v="US-2015-161991"/>
    <d v="2015-09-26T00:00:00"/>
    <x v="0"/>
    <x v="2"/>
    <s v="Houston"/>
    <x v="0"/>
    <s v="Bose SoundLink Bluetooth Speaker"/>
    <x v="430"/>
    <n v="7"/>
    <n v="0.2"/>
    <n v="376.11"/>
  </r>
  <r>
    <s v="US-2015-164175"/>
    <d v="2015-04-30T00:00:00"/>
    <x v="7"/>
    <x v="2"/>
    <s v="Chicago"/>
    <x v="1"/>
    <s v="Global Value Mid-Back Manager's Chair, Gray"/>
    <x v="431"/>
    <n v="5"/>
    <n v="0.3"/>
    <n v="-15.2225"/>
  </r>
  <r>
    <s v="US-2015-168935"/>
    <d v="2015-11-27T00:00:00"/>
    <x v="2"/>
    <x v="3"/>
    <s v="Pembroke Pines"/>
    <x v="1"/>
    <s v="Hon Practical Foundations 30 x 60 Training Table, Light Gray/Charcoal"/>
    <x v="432"/>
    <n v="3"/>
    <n v="0.45"/>
    <n v="-157.0095"/>
  </r>
  <r>
    <s v="US-2015-168935"/>
    <d v="2015-11-27T00:00:00"/>
    <x v="2"/>
    <x v="3"/>
    <s v="Pembroke Pines"/>
    <x v="0"/>
    <s v="Logitech Media Keyboard K200"/>
    <x v="433"/>
    <n v="3"/>
    <n v="0.2"/>
    <n v="-1.0497000000000001"/>
  </r>
  <r>
    <s v="US-2016-100419"/>
    <d v="2016-12-16T00:00:00"/>
    <x v="3"/>
    <x v="2"/>
    <s v="Chicago"/>
    <x v="2"/>
    <s v="Cardinal Hold-It CD Pocket"/>
    <x v="434"/>
    <n v="3"/>
    <n v="0.8"/>
    <n v="-7.9001999999999999"/>
  </r>
  <r>
    <s v="US-2016-120929"/>
    <d v="2016-03-18T00:00:00"/>
    <x v="1"/>
    <x v="3"/>
    <s v="Memphis"/>
    <x v="1"/>
    <s v="Balt Solid Wood Rectangular Table"/>
    <x v="435"/>
    <n v="3"/>
    <n v="0.4"/>
    <n v="-94.941000000000003"/>
  </r>
  <r>
    <s v="US-2016-123750"/>
    <d v="2016-04-15T00:00:00"/>
    <x v="7"/>
    <x v="3"/>
    <s v="Gastonia"/>
    <x v="2"/>
    <s v="GBC ProClick 150 Presentation Binding System"/>
    <x v="436"/>
    <n v="2"/>
    <n v="0.7"/>
    <n v="-145.35079999999999"/>
  </r>
  <r>
    <s v="US-2016-123750"/>
    <d v="2016-04-15T00:00:00"/>
    <x v="7"/>
    <x v="3"/>
    <s v="Gastonia"/>
    <x v="0"/>
    <s v="ImationÂ Secure+ Hardware Encrypted USB 2.0Â Flash Drive; 16GB"/>
    <x v="88"/>
    <n v="7"/>
    <n v="0.2"/>
    <n v="76.639499999999998"/>
  </r>
  <r>
    <s v="US-2016-123750"/>
    <d v="2016-04-15T00:00:00"/>
    <x v="7"/>
    <x v="3"/>
    <s v="Gastonia"/>
    <x v="0"/>
    <s v="ImationÂ Secure+ Hardware Encrypted USB 2.0Â Flash Drive; 16GB"/>
    <x v="437"/>
    <n v="5"/>
    <n v="0.2"/>
    <n v="54.7425"/>
  </r>
  <r>
    <s v="US-2016-123750"/>
    <d v="2016-04-15T00:00:00"/>
    <x v="7"/>
    <x v="3"/>
    <s v="Gastonia"/>
    <x v="2"/>
    <s v="Woodgrain Magazine Files by Perma"/>
    <x v="438"/>
    <n v="2"/>
    <n v="0.2"/>
    <n v="-0.77480000000000004"/>
  </r>
  <r>
    <s v="US-2016-125969"/>
    <d v="2016-11-06T00:00:00"/>
    <x v="2"/>
    <x v="1"/>
    <s v="Los Angeles"/>
    <x v="1"/>
    <s v="Global Task Chair, Black"/>
    <x v="439"/>
    <n v="2"/>
    <n v="0.2"/>
    <n v="-9.1601999999999997"/>
  </r>
  <r>
    <s v="US-2016-125969"/>
    <d v="2016-11-06T00:00:00"/>
    <x v="2"/>
    <x v="1"/>
    <s v="Los Angeles"/>
    <x v="1"/>
    <s v="Eldon Cleatmat Plus Chair Mats for High Pile Carpets"/>
    <x v="440"/>
    <n v="3"/>
    <n v="0"/>
    <n v="26.241599999999998"/>
  </r>
  <r>
    <s v="US-2016-134656"/>
    <d v="2016-09-28T00:00:00"/>
    <x v="0"/>
    <x v="2"/>
    <s v="Quincy"/>
    <x v="2"/>
    <s v="Xerox 1960"/>
    <x v="81"/>
    <n v="4"/>
    <n v="0.2"/>
    <n v="30.98"/>
  </r>
  <r>
    <s v="US-2016-141544"/>
    <d v="2016-08-30T00:00:00"/>
    <x v="6"/>
    <x v="0"/>
    <s v="Philadelphia"/>
    <x v="0"/>
    <s v="Aastra 57i VoIP phone"/>
    <x v="441"/>
    <n v="3"/>
    <n v="0.4"/>
    <n v="-67.876199999999997"/>
  </r>
  <r>
    <s v="US-2016-141544"/>
    <d v="2016-08-30T00:00:00"/>
    <x v="6"/>
    <x v="0"/>
    <s v="Philadelphia"/>
    <x v="2"/>
    <s v="File Shuttle II and Handi-File, Black"/>
    <x v="442"/>
    <n v="2"/>
    <n v="0.2"/>
    <n v="3.3889999999999998"/>
  </r>
  <r>
    <s v="US-2016-141544"/>
    <d v="2016-08-30T00:00:00"/>
    <x v="6"/>
    <x v="0"/>
    <s v="Philadelphia"/>
    <x v="1"/>
    <s v="Hon 2090 Â“Pillow SoftÂ” Series Mid Back Swivel/Tilt Chairs"/>
    <x v="443"/>
    <n v="4"/>
    <n v="0.3"/>
    <n v="-258.5016"/>
  </r>
  <r>
    <s v="US-2016-141544"/>
    <d v="2016-08-30T00:00:00"/>
    <x v="6"/>
    <x v="0"/>
    <s v="Philadelphia"/>
    <x v="2"/>
    <s v="Round Specialty Laser Printer Labels"/>
    <x v="444"/>
    <n v="10"/>
    <n v="0.2"/>
    <n v="33.831000000000003"/>
  </r>
  <r>
    <s v="US-2016-141544"/>
    <d v="2016-08-30T00:00:00"/>
    <x v="6"/>
    <x v="0"/>
    <s v="Philadelphia"/>
    <x v="2"/>
    <s v="GBC Premium Transparent Covers with Diagonal Lined Pattern"/>
    <x v="445"/>
    <n v="6"/>
    <n v="0.7"/>
    <n v="-27.6936"/>
  </r>
  <r>
    <s v="US-2016-150147"/>
    <d v="2016-04-25T00:00:00"/>
    <x v="7"/>
    <x v="0"/>
    <s v="Philadelphia"/>
    <x v="0"/>
    <s v="AT&amp;T 841000 Phone"/>
    <x v="189"/>
    <n v="2"/>
    <n v="0.4"/>
    <n v="-20.7"/>
  </r>
  <r>
    <s v="US-2016-150147"/>
    <d v="2016-04-25T00:00:00"/>
    <x v="7"/>
    <x v="0"/>
    <s v="Philadelphia"/>
    <x v="2"/>
    <s v="Ibico Recycled Grain-Textured Covers"/>
    <x v="446"/>
    <n v="2"/>
    <n v="0.7"/>
    <n v="-13.816000000000001"/>
  </r>
  <r>
    <s v="US-2016-150147"/>
    <d v="2016-04-25T00:00:00"/>
    <x v="7"/>
    <x v="0"/>
    <s v="Philadelphia"/>
    <x v="2"/>
    <s v="Wilson Jones Custom Binder Spines &amp; Labels"/>
    <x v="447"/>
    <n v="3"/>
    <n v="0.7"/>
    <n v="-3.4272"/>
  </r>
  <r>
    <s v="US-2016-157945"/>
    <d v="2016-09-26T00:00:00"/>
    <x v="0"/>
    <x v="2"/>
    <s v="Decatur"/>
    <x v="1"/>
    <s v="Hon 4700 Series Mobuis Mid-Back Task Chairs with Adjustable Arms"/>
    <x v="448"/>
    <n v="3"/>
    <n v="0.3"/>
    <n v="-96.114599999999996"/>
  </r>
  <r>
    <s v="US-2016-157945"/>
    <d v="2016-09-26T00:00:00"/>
    <x v="0"/>
    <x v="2"/>
    <s v="Decatur"/>
    <x v="2"/>
    <s v="Staple envelope"/>
    <x v="449"/>
    <n v="2"/>
    <n v="0.2"/>
    <n v="3.3479999999999999"/>
  </r>
  <r>
    <s v="US-2017-100930"/>
    <d v="2017-04-07T00:00:00"/>
    <x v="7"/>
    <x v="3"/>
    <s v="Tampa"/>
    <x v="1"/>
    <s v="Bush Advantage Collection Round Conference Table"/>
    <x v="450"/>
    <n v="2"/>
    <n v="0.45"/>
    <n v="-102.048"/>
  </r>
  <r>
    <s v="US-2017-100930"/>
    <d v="2017-04-07T00:00:00"/>
    <x v="7"/>
    <x v="3"/>
    <s v="Tampa"/>
    <x v="1"/>
    <s v="Bretford Rectangular Conference Table Tops"/>
    <x v="451"/>
    <n v="3"/>
    <n v="0.45"/>
    <n v="-248.2458"/>
  </r>
  <r>
    <s v="US-2017-100930"/>
    <d v="2017-04-07T00:00:00"/>
    <x v="7"/>
    <x v="3"/>
    <s v="Tampa"/>
    <x v="2"/>
    <s v="GBC Instant Index System for Binding Systems"/>
    <x v="452"/>
    <n v="2"/>
    <n v="0.7"/>
    <n v="-3.552"/>
  </r>
  <r>
    <s v="US-2017-100930"/>
    <d v="2017-04-07T00:00:00"/>
    <x v="7"/>
    <x v="3"/>
    <s v="Tampa"/>
    <x v="1"/>
    <s v="Tenex Contemporary Contur Chairmats for Low and Medium Pile Carpet, Computer, 39&quot; x 49&quot;"/>
    <x v="453"/>
    <n v="3"/>
    <n v="0.2"/>
    <n v="0"/>
  </r>
  <r>
    <s v="US-2017-100930"/>
    <d v="2017-04-07T00:00:00"/>
    <x v="7"/>
    <x v="3"/>
    <s v="Tampa"/>
    <x v="0"/>
    <s v="LogitechÂ P710e Mobile Speakerphone"/>
    <x v="454"/>
    <n v="3"/>
    <n v="0.2"/>
    <n v="-7.7247000000000003"/>
  </r>
  <r>
    <s v="US-2017-107272"/>
    <d v="2017-11-05T00:00:00"/>
    <x v="2"/>
    <x v="1"/>
    <s v="Phoenix"/>
    <x v="2"/>
    <s v="Avery Durable Slant Ring Binders, No Labels"/>
    <x v="455"/>
    <n v="2"/>
    <n v="0.7"/>
    <n v="-1.8308"/>
  </r>
  <r>
    <s v="US-2017-107272"/>
    <d v="2017-11-05T00:00:00"/>
    <x v="2"/>
    <x v="1"/>
    <s v="Phoenix"/>
    <x v="2"/>
    <s v="Trav-L-File Heavy-Duty Shuttle II, Black"/>
    <x v="456"/>
    <n v="7"/>
    <n v="0.2"/>
    <n v="30.498999999999999"/>
  </r>
  <r>
    <s v="US-2017-109484"/>
    <d v="2017-11-06T00:00:00"/>
    <x v="2"/>
    <x v="1"/>
    <s v="Portland"/>
    <x v="2"/>
    <s v="Flexible Leather- Look Classic Collection Ring Binder"/>
    <x v="457"/>
    <n v="1"/>
    <n v="0.7"/>
    <n v="-3.7879999999999998"/>
  </r>
  <r>
    <s v="US-2017-116701"/>
    <d v="2017-12-17T00:00:00"/>
    <x v="3"/>
    <x v="2"/>
    <s v="Dallas"/>
    <x v="2"/>
    <s v="Eureka Sanitaire  Commercial Upright"/>
    <x v="458"/>
    <n v="2"/>
    <n v="0.8"/>
    <n v="-178.96680000000001"/>
  </r>
  <r>
    <s v="US-2017-118038"/>
    <d v="2017-12-09T00:00:00"/>
    <x v="3"/>
    <x v="2"/>
    <s v="Houston"/>
    <x v="2"/>
    <s v="Economy Binders"/>
    <x v="459"/>
    <n v="3"/>
    <n v="0.8"/>
    <n v="-1.9343999999999999"/>
  </r>
  <r>
    <s v="US-2017-118038"/>
    <d v="2017-12-09T00:00:00"/>
    <x v="3"/>
    <x v="2"/>
    <s v="Houston"/>
    <x v="1"/>
    <s v="6&quot; Cubicle Wall Clock, Black"/>
    <x v="460"/>
    <n v="3"/>
    <n v="0.6"/>
    <n v="-5.8247999999999998"/>
  </r>
  <r>
    <s v="US-2017-118038"/>
    <d v="2017-12-09T00:00:00"/>
    <x v="3"/>
    <x v="2"/>
    <s v="Houston"/>
    <x v="2"/>
    <s v="SimpliFile Personal File, Black Granite, 15w x 6-15/16d x 11-1/4h"/>
    <x v="234"/>
    <n v="3"/>
    <n v="0.2"/>
    <n v="2.7240000000000002"/>
  </r>
  <r>
    <s v="US-2017-119662"/>
    <d v="2017-11-13T00:00:00"/>
    <x v="2"/>
    <x v="2"/>
    <s v="Chicago"/>
    <x v="2"/>
    <s v="Safco Industrial Wire Shelving"/>
    <x v="461"/>
    <n v="3"/>
    <n v="0.2"/>
    <n v="-48.954900000000002"/>
  </r>
  <r>
    <s v="US-2017-124303"/>
    <d v="2017-07-06T00:00:00"/>
    <x v="8"/>
    <x v="0"/>
    <s v="Philadelphia"/>
    <x v="2"/>
    <s v="Pressboard Covers with Storage Hooks, 9 1/2&quot; x 11&quot;, Light Blue"/>
    <x v="462"/>
    <n v="2"/>
    <n v="0.7"/>
    <n v="-2.2585999999999999"/>
  </r>
  <r>
    <s v="US-2017-124303"/>
    <d v="2017-07-06T00:00:00"/>
    <x v="8"/>
    <x v="0"/>
    <s v="Philadelphia"/>
    <x v="2"/>
    <s v="Wirebound Message Books, 5-1/2 x 4 Forms, 2 or 4 Forms per Page"/>
    <x v="463"/>
    <n v="3"/>
    <n v="0.2"/>
    <n v="5.8202999999999996"/>
  </r>
  <r>
    <s v="US-2017-134481"/>
    <d v="2017-08-27T00:00:00"/>
    <x v="6"/>
    <x v="0"/>
    <s v="Franklin"/>
    <x v="1"/>
    <s v="Office Impressions End Table, 20-1/2&quot;H x 24&quot;W x 20&quot;D"/>
    <x v="464"/>
    <n v="7"/>
    <n v="0.3"/>
    <n v="-297.6848"/>
  </r>
  <r>
    <s v="US-2017-145366"/>
    <d v="2017-12-09T00:00:00"/>
    <x v="3"/>
    <x v="0"/>
    <s v="Cincinnati"/>
    <x v="2"/>
    <s v="Safco Commercial Shelving"/>
    <x v="465"/>
    <n v="1"/>
    <n v="0.2"/>
    <n v="-7.4416000000000002"/>
  </r>
  <r>
    <s v="US-2017-145366"/>
    <d v="2017-12-09T00:00:00"/>
    <x v="3"/>
    <x v="0"/>
    <s v="Cincinnati"/>
    <x v="2"/>
    <s v="Recycled Interoffice Envelopes with String and Button Closure, 10 x 13"/>
    <x v="466"/>
    <n v="3"/>
    <n v="0.2"/>
    <n v="21.591000000000001"/>
  </r>
  <r>
    <s v="US-2017-152366"/>
    <d v="2017-04-21T00:00:00"/>
    <x v="7"/>
    <x v="2"/>
    <s v="Houston"/>
    <x v="2"/>
    <s v="Acco 7-Outlet Masterpiece Power Center, Wihtout Fax/Phone Line Protection"/>
    <x v="467"/>
    <n v="4"/>
    <n v="0.8"/>
    <n v="-243.16"/>
  </r>
  <r>
    <s v="US-2017-152380"/>
    <d v="2017-11-19T00:00:00"/>
    <x v="2"/>
    <x v="2"/>
    <s v="Chicago"/>
    <x v="1"/>
    <s v="BPI Conference Tables"/>
    <x v="468"/>
    <n v="3"/>
    <n v="0.5"/>
    <n v="-131.44499999999999"/>
  </r>
  <r>
    <s v="US-2017-155299"/>
    <d v="2017-06-08T00:00:00"/>
    <x v="5"/>
    <x v="2"/>
    <s v="Pasadena"/>
    <x v="2"/>
    <s v="Eureka Disposable Bags for Sanitaire Vibra Groomer I Upright Vac"/>
    <x v="469"/>
    <n v="2"/>
    <n v="0.8"/>
    <n v="-4.4660000000000002"/>
  </r>
  <r>
    <s v="US-2017-156909"/>
    <d v="2017-07-16T00:00:00"/>
    <x v="8"/>
    <x v="0"/>
    <s v="Philadelphia"/>
    <x v="1"/>
    <s v="Global Deluxe Stacking Chair, Gray"/>
    <x v="470"/>
    <n v="2"/>
    <n v="0.3"/>
    <n v="-1.0196000000000001"/>
  </r>
  <r>
    <s v="US-2017-164147"/>
    <d v="2017-02-02T00:00:00"/>
    <x v="10"/>
    <x v="0"/>
    <s v="Columbus"/>
    <x v="0"/>
    <s v="Anker 36W 4-Port USB Wall Charger Travel Power Adapter for iPhone 5s 5c 5"/>
    <x v="471"/>
    <n v="5"/>
    <n v="0.4"/>
    <n v="-11.994"/>
  </r>
  <r>
    <s v="US-2017-164147"/>
    <d v="2017-02-02T00:00:00"/>
    <x v="10"/>
    <x v="0"/>
    <s v="Columbus"/>
    <x v="2"/>
    <s v="Xerox 1916"/>
    <x v="472"/>
    <n v="2"/>
    <n v="0.2"/>
    <n v="29.364000000000001"/>
  </r>
  <r>
    <s v="US-2017-164147"/>
    <d v="2017-02-02T00:00:00"/>
    <x v="10"/>
    <x v="0"/>
    <s v="Columbus"/>
    <x v="2"/>
    <s v="Staples"/>
    <x v="473"/>
    <n v="9"/>
    <n v="0.2"/>
    <n v="6.9732000000000003"/>
  </r>
  <r>
    <m/>
    <m/>
    <x v="12"/>
    <x v="4"/>
    <m/>
    <x v="3"/>
    <m/>
    <x v="474"/>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A-2014-101476"/>
    <d v="2014-09-12T00:00:00"/>
    <x v="0"/>
    <s v="East"/>
    <s v="New Rochelle"/>
    <s v="Technology"/>
    <x v="0"/>
    <x v="0"/>
    <n v="1"/>
    <n v="0"/>
    <n v="30.095700000000001"/>
  </r>
  <r>
    <s v="CA-2014-104269"/>
    <d v="2014-03-01T00:00:00"/>
    <x v="1"/>
    <s v="West"/>
    <s v="Seattle"/>
    <s v="Furniture"/>
    <x v="1"/>
    <x v="1"/>
    <n v="2"/>
    <n v="0.2"/>
    <n v="51.476399999999998"/>
  </r>
  <r>
    <s v="CA-2014-105893"/>
    <d v="2014-11-11T00:00:00"/>
    <x v="2"/>
    <s v="Central"/>
    <s v="Madison"/>
    <s v="Office Supplies"/>
    <x v="2"/>
    <x v="2"/>
    <n v="6"/>
    <n v="0"/>
    <n v="13.317600000000001"/>
  </r>
  <r>
    <s v="CA-2014-106376"/>
    <d v="2014-12-05T00:00:00"/>
    <x v="3"/>
    <s v="West"/>
    <s v="Gilbert"/>
    <s v="Office Supplies"/>
    <x v="3"/>
    <x v="3"/>
    <n v="8"/>
    <n v="0.2"/>
    <n v="111.30240000000001"/>
  </r>
  <r>
    <s v="CA-2014-106376"/>
    <d v="2014-12-05T00:00:00"/>
    <x v="3"/>
    <s v="West"/>
    <s v="Gilbert"/>
    <s v="Technology"/>
    <x v="4"/>
    <x v="4"/>
    <n v="4"/>
    <n v="0.2"/>
    <n v="62.988"/>
  </r>
  <r>
    <s v="CA-2014-110072"/>
    <d v="2014-10-22T00:00:00"/>
    <x v="4"/>
    <s v="East"/>
    <s v="Newark"/>
    <s v="Furniture"/>
    <x v="5"/>
    <x v="5"/>
    <n v="4"/>
    <n v="0.2"/>
    <n v="12.909599999999999"/>
  </r>
  <r>
    <s v="CA-2014-111003"/>
    <d v="2014-06-01T00:00:00"/>
    <x v="5"/>
    <s v="East"/>
    <s v="Lakewood"/>
    <s v="Office Supplies"/>
    <x v="6"/>
    <x v="6"/>
    <n v="3"/>
    <n v="0"/>
    <n v="20.9208"/>
  </r>
  <r>
    <s v="CA-2014-111003"/>
    <d v="2014-06-01T00:00:00"/>
    <x v="5"/>
    <s v="East"/>
    <s v="Lakewood"/>
    <s v="Office Supplies"/>
    <x v="7"/>
    <x v="7"/>
    <n v="6"/>
    <n v="0"/>
    <n v="83.867999999999995"/>
  </r>
  <r>
    <s v="CA-2014-111451"/>
    <d v="2014-12-26T00:00:00"/>
    <x v="3"/>
    <s v="West"/>
    <s v="Colorado Springs"/>
    <s v="Furniture"/>
    <x v="8"/>
    <x v="8"/>
    <n v="8"/>
    <n v="0.2"/>
    <n v="78.859200000000001"/>
  </r>
  <r>
    <s v="CA-2014-111451"/>
    <d v="2014-12-26T00:00:00"/>
    <x v="3"/>
    <s v="West"/>
    <s v="Colorado Springs"/>
    <s v="Furniture"/>
    <x v="9"/>
    <x v="9"/>
    <n v="3"/>
    <n v="0.2"/>
    <n v="20.155799999999999"/>
  </r>
  <r>
    <s v="CA-2014-111451"/>
    <d v="2014-12-26T00:00:00"/>
    <x v="3"/>
    <s v="West"/>
    <s v="Colorado Springs"/>
    <s v="Furniture"/>
    <x v="10"/>
    <x v="10"/>
    <n v="3"/>
    <n v="0.2"/>
    <n v="-24.564599999999999"/>
  </r>
  <r>
    <s v="CA-2014-111451"/>
    <d v="2014-12-26T00:00:00"/>
    <x v="3"/>
    <s v="West"/>
    <s v="Colorado Springs"/>
    <s v="Office Supplies"/>
    <x v="11"/>
    <x v="11"/>
    <n v="5"/>
    <n v="0.7"/>
    <n v="-62.88"/>
  </r>
  <r>
    <s v="CA-2014-111451"/>
    <d v="2014-12-26T00:00:00"/>
    <x v="3"/>
    <s v="West"/>
    <s v="Colorado Springs"/>
    <s v="Office Supplies"/>
    <x v="12"/>
    <x v="12"/>
    <n v="3"/>
    <n v="0.2"/>
    <n v="9.2988"/>
  </r>
  <r>
    <s v="CA-2014-113166"/>
    <d v="2014-12-24T00:00:00"/>
    <x v="3"/>
    <s v="South"/>
    <s v="Miami"/>
    <s v="Office Supplies"/>
    <x v="13"/>
    <x v="13"/>
    <n v="2"/>
    <n v="0.2"/>
    <n v="3.4683999999999999"/>
  </r>
  <r>
    <s v="CA-2014-113362"/>
    <d v="2014-09-14T00:00:00"/>
    <x v="0"/>
    <s v="East"/>
    <s v="Rochester"/>
    <s v="Office Supplies"/>
    <x v="14"/>
    <x v="14"/>
    <n v="5"/>
    <n v="0"/>
    <n v="8.9830000000000005"/>
  </r>
  <r>
    <s v="CA-2014-113362"/>
    <d v="2014-09-14T00:00:00"/>
    <x v="0"/>
    <s v="East"/>
    <s v="Rochester"/>
    <s v="Office Supplies"/>
    <x v="15"/>
    <x v="15"/>
    <n v="3"/>
    <n v="0"/>
    <n v="5.0922000000000001"/>
  </r>
  <r>
    <s v="CA-2014-115259"/>
    <d v="2014-08-25T00:00:00"/>
    <x v="6"/>
    <s v="East"/>
    <s v="Columbus"/>
    <s v="Office Supplies"/>
    <x v="16"/>
    <x v="16"/>
    <n v="14"/>
    <n v="0.2"/>
    <n v="14.534800000000001"/>
  </r>
  <r>
    <s v="CA-2014-115259"/>
    <d v="2014-08-25T00:00:00"/>
    <x v="6"/>
    <s v="East"/>
    <s v="Columbus"/>
    <s v="Office Supplies"/>
    <x v="17"/>
    <x v="17"/>
    <n v="2"/>
    <n v="0.2"/>
    <n v="1.6519999999999999"/>
  </r>
  <r>
    <s v="CA-2014-115259"/>
    <d v="2014-08-25T00:00:00"/>
    <x v="6"/>
    <s v="East"/>
    <s v="Columbus"/>
    <s v="Office Supplies"/>
    <x v="18"/>
    <x v="18"/>
    <n v="3"/>
    <n v="0.2"/>
    <n v="7.4924999999999997"/>
  </r>
  <r>
    <s v="CA-2014-115259"/>
    <d v="2014-08-25T00:00:00"/>
    <x v="6"/>
    <s v="East"/>
    <s v="Columbus"/>
    <s v="Office Supplies"/>
    <x v="19"/>
    <x v="19"/>
    <n v="6"/>
    <n v="0.2"/>
    <n v="44.031599999999997"/>
  </r>
  <r>
    <s v="CA-2014-115812"/>
    <d v="2014-06-09T00:00:00"/>
    <x v="5"/>
    <s v="West"/>
    <s v="Los Angeles"/>
    <s v="Furniture"/>
    <x v="20"/>
    <x v="20"/>
    <n v="7"/>
    <n v="0"/>
    <n v="14.1694"/>
  </r>
  <r>
    <s v="CA-2014-115812"/>
    <d v="2014-06-09T00:00:00"/>
    <x v="5"/>
    <s v="West"/>
    <s v="Los Angeles"/>
    <s v="Office Supplies"/>
    <x v="21"/>
    <x v="21"/>
    <n v="4"/>
    <n v="0"/>
    <n v="1.9656"/>
  </r>
  <r>
    <s v="CA-2014-115812"/>
    <d v="2014-06-09T00:00:00"/>
    <x v="5"/>
    <s v="West"/>
    <s v="Los Angeles"/>
    <s v="Technology"/>
    <x v="22"/>
    <x v="22"/>
    <n v="6"/>
    <n v="0.2"/>
    <n v="90.715199999999996"/>
  </r>
  <r>
    <s v="CA-2014-115812"/>
    <d v="2014-06-09T00:00:00"/>
    <x v="5"/>
    <s v="West"/>
    <s v="Los Angeles"/>
    <s v="Office Supplies"/>
    <x v="23"/>
    <x v="23"/>
    <n v="3"/>
    <n v="0.2"/>
    <n v="5.7824999999999998"/>
  </r>
  <r>
    <s v="CA-2014-115812"/>
    <d v="2014-06-09T00:00:00"/>
    <x v="5"/>
    <s v="West"/>
    <s v="Los Angeles"/>
    <s v="Office Supplies"/>
    <x v="24"/>
    <x v="24"/>
    <n v="5"/>
    <n v="0"/>
    <n v="34.47"/>
  </r>
  <r>
    <s v="CA-2014-115812"/>
    <d v="2014-06-09T00:00:00"/>
    <x v="5"/>
    <s v="West"/>
    <s v="Los Angeles"/>
    <s v="Furniture"/>
    <x v="25"/>
    <x v="25"/>
    <n v="9"/>
    <n v="0.2"/>
    <n v="85.309200000000004"/>
  </r>
  <r>
    <s v="CA-2014-115812"/>
    <d v="2014-06-09T00:00:00"/>
    <x v="5"/>
    <s v="West"/>
    <s v="Los Angeles"/>
    <s v="Technology"/>
    <x v="26"/>
    <x v="26"/>
    <n v="4"/>
    <n v="0.2"/>
    <n v="68.356800000000007"/>
  </r>
  <r>
    <s v="CA-2014-115973"/>
    <d v="2014-11-24T00:00:00"/>
    <x v="2"/>
    <s v="East"/>
    <s v="Cincinnati"/>
    <s v="Office Supplies"/>
    <x v="27"/>
    <x v="27"/>
    <n v="1"/>
    <n v="0.2"/>
    <n v="0.4264"/>
  </r>
  <r>
    <s v="CA-2014-118962"/>
    <d v="2014-08-05T00:00:00"/>
    <x v="6"/>
    <s v="West"/>
    <s v="Los Angeles"/>
    <s v="Office Supplies"/>
    <x v="28"/>
    <x v="28"/>
    <n v="3"/>
    <n v="0"/>
    <n v="9.8417999999999992"/>
  </r>
  <r>
    <s v="CA-2014-118962"/>
    <d v="2014-08-05T00:00:00"/>
    <x v="6"/>
    <s v="West"/>
    <s v="Los Angeles"/>
    <s v="Office Supplies"/>
    <x v="29"/>
    <x v="29"/>
    <n v="2"/>
    <n v="0"/>
    <n v="53.260800000000003"/>
  </r>
  <r>
    <s v="CA-2014-118962"/>
    <d v="2014-08-05T00:00:00"/>
    <x v="6"/>
    <s v="West"/>
    <s v="Los Angeles"/>
    <s v="Furniture"/>
    <x v="30"/>
    <x v="30"/>
    <n v="7"/>
    <n v="0.2"/>
    <n v="21.259"/>
  </r>
  <r>
    <s v="CA-2014-120887"/>
    <d v="2014-09-27T00:00:00"/>
    <x v="0"/>
    <s v="East"/>
    <s v="Hackensack"/>
    <s v="Furniture"/>
    <x v="31"/>
    <x v="31"/>
    <n v="3"/>
    <n v="0"/>
    <n v="37.642200000000003"/>
  </r>
  <r>
    <s v="CA-2014-122336"/>
    <d v="2014-04-13T00:00:00"/>
    <x v="7"/>
    <s v="East"/>
    <s v="Philadelphia"/>
    <s v="Office Supplies"/>
    <x v="32"/>
    <x v="32"/>
    <n v="4"/>
    <n v="0.2"/>
    <n v="1.1160000000000001"/>
  </r>
  <r>
    <s v="CA-2014-122336"/>
    <d v="2014-04-13T00:00:00"/>
    <x v="7"/>
    <s v="East"/>
    <s v="Philadelphia"/>
    <s v="Office Supplies"/>
    <x v="33"/>
    <x v="33"/>
    <n v="10"/>
    <n v="0.7"/>
    <n v="-407.976"/>
  </r>
  <r>
    <s v="CA-2014-122336"/>
    <d v="2014-04-13T00:00:00"/>
    <x v="7"/>
    <s v="East"/>
    <s v="Philadelphia"/>
    <s v="Office Supplies"/>
    <x v="34"/>
    <x v="34"/>
    <n v="13"/>
    <n v="0.2"/>
    <n v="10.0724"/>
  </r>
  <r>
    <s v="CA-2014-122336"/>
    <d v="2014-04-13T00:00:00"/>
    <x v="7"/>
    <s v="East"/>
    <s v="Philadelphia"/>
    <s v="Technology"/>
    <x v="35"/>
    <x v="35"/>
    <n v="12"/>
    <n v="0.4"/>
    <n v="8.3916000000000004"/>
  </r>
  <r>
    <s v="CA-2014-123260"/>
    <d v="2014-08-26T00:00:00"/>
    <x v="6"/>
    <s v="West"/>
    <s v="Los Angeles"/>
    <s v="Technology"/>
    <x v="36"/>
    <x v="36"/>
    <n v="8"/>
    <n v="0"/>
    <n v="22.984000000000002"/>
  </r>
  <r>
    <s v="CA-2014-123344"/>
    <d v="2014-09-24T00:00:00"/>
    <x v="0"/>
    <s v="West"/>
    <s v="San Francisco"/>
    <s v="Office Supplies"/>
    <x v="37"/>
    <x v="37"/>
    <n v="4"/>
    <n v="0"/>
    <n v="8.4784000000000006"/>
  </r>
  <r>
    <s v="CA-2014-127691"/>
    <d v="2014-07-22T00:00:00"/>
    <x v="8"/>
    <s v="East"/>
    <s v="New York City"/>
    <s v="Office Supplies"/>
    <x v="38"/>
    <x v="38"/>
    <n v="2"/>
    <n v="0"/>
    <n v="1.6688000000000001"/>
  </r>
  <r>
    <s v="CA-2014-127691"/>
    <d v="2014-07-22T00:00:00"/>
    <x v="8"/>
    <s v="East"/>
    <s v="New York City"/>
    <s v="Technology"/>
    <x v="39"/>
    <x v="39"/>
    <n v="2"/>
    <n v="0"/>
    <n v="57.592799999999997"/>
  </r>
  <r>
    <s v="CA-2014-129924"/>
    <d v="2014-07-12T00:00:00"/>
    <x v="8"/>
    <s v="West"/>
    <s v="San Francisco"/>
    <s v="Office Supplies"/>
    <x v="40"/>
    <x v="40"/>
    <n v="2"/>
    <n v="0.2"/>
    <n v="2.7955999999999999"/>
  </r>
  <r>
    <s v="CA-2014-129924"/>
    <d v="2014-07-12T00:00:00"/>
    <x v="8"/>
    <s v="West"/>
    <s v="San Francisco"/>
    <s v="Furniture"/>
    <x v="41"/>
    <x v="41"/>
    <n v="3"/>
    <n v="0.2"/>
    <n v="-17.4588"/>
  </r>
  <r>
    <s v="CA-2014-130960"/>
    <d v="2014-12-30T00:00:00"/>
    <x v="3"/>
    <s v="Central"/>
    <s v="Taylor"/>
    <s v="Office Supplies"/>
    <x v="42"/>
    <x v="42"/>
    <n v="3"/>
    <n v="0"/>
    <n v="2.8536000000000001"/>
  </r>
  <r>
    <s v="CA-2014-131926"/>
    <d v="2014-06-01T00:00:00"/>
    <x v="5"/>
    <s v="Central"/>
    <s v="Lakeville"/>
    <s v="Furniture"/>
    <x v="1"/>
    <x v="43"/>
    <n v="7"/>
    <n v="0"/>
    <n v="580.5394"/>
  </r>
  <r>
    <s v="CA-2014-131926"/>
    <d v="2014-06-01T00:00:00"/>
    <x v="5"/>
    <s v="Central"/>
    <s v="Lakeville"/>
    <s v="Office Supplies"/>
    <x v="43"/>
    <x v="44"/>
    <n v="2"/>
    <n v="0"/>
    <n v="41.68"/>
  </r>
  <r>
    <s v="CA-2014-131926"/>
    <d v="2014-06-01T00:00:00"/>
    <x v="5"/>
    <s v="Central"/>
    <s v="Lakeville"/>
    <s v="Office Supplies"/>
    <x v="44"/>
    <x v="45"/>
    <n v="6"/>
    <n v="0"/>
    <n v="23.94"/>
  </r>
  <r>
    <s v="CA-2014-131926"/>
    <d v="2014-06-01T00:00:00"/>
    <x v="5"/>
    <s v="Central"/>
    <s v="Lakeville"/>
    <s v="Office Supplies"/>
    <x v="45"/>
    <x v="46"/>
    <n v="5"/>
    <n v="0"/>
    <n v="496.07249999999999"/>
  </r>
  <r>
    <s v="CA-2014-131926"/>
    <d v="2014-06-01T00:00:00"/>
    <x v="5"/>
    <s v="Central"/>
    <s v="Lakeville"/>
    <s v="Office Supplies"/>
    <x v="46"/>
    <x v="47"/>
    <n v="4"/>
    <n v="0"/>
    <n v="12.441599999999999"/>
  </r>
  <r>
    <s v="CA-2014-133690"/>
    <d v="2014-08-03T00:00:00"/>
    <x v="6"/>
    <s v="West"/>
    <s v="Denver"/>
    <s v="Furniture"/>
    <x v="47"/>
    <x v="48"/>
    <n v="2"/>
    <n v="0.5"/>
    <n v="-161.875"/>
  </r>
  <r>
    <s v="CA-2014-133690"/>
    <d v="2014-08-03T00:00:00"/>
    <x v="6"/>
    <s v="West"/>
    <s v="Denver"/>
    <s v="Office Supplies"/>
    <x v="48"/>
    <x v="49"/>
    <n v="1"/>
    <n v="0.2"/>
    <n v="0.29249999999999998"/>
  </r>
  <r>
    <s v="CA-2014-133753"/>
    <d v="2014-06-09T00:00:00"/>
    <x v="5"/>
    <s v="Central"/>
    <s v="Huntsville"/>
    <s v="Technology"/>
    <x v="49"/>
    <x v="50"/>
    <n v="1"/>
    <n v="0.2"/>
    <n v="0.59940000000000004"/>
  </r>
  <r>
    <s v="CA-2014-133753"/>
    <d v="2014-06-09T00:00:00"/>
    <x v="5"/>
    <s v="Central"/>
    <s v="Huntsville"/>
    <s v="Technology"/>
    <x v="50"/>
    <x v="51"/>
    <n v="2"/>
    <n v="0.2"/>
    <n v="10.397399999999999"/>
  </r>
  <r>
    <s v="CA-2014-133753"/>
    <d v="2014-06-09T00:00:00"/>
    <x v="5"/>
    <s v="Central"/>
    <s v="Huntsville"/>
    <s v="Office Supplies"/>
    <x v="51"/>
    <x v="52"/>
    <n v="2"/>
    <n v="0.2"/>
    <n v="6.1571999999999996"/>
  </r>
  <r>
    <s v="CA-2014-134677"/>
    <d v="2014-10-06T00:00:00"/>
    <x v="4"/>
    <s v="West"/>
    <s v="San Diego"/>
    <s v="Technology"/>
    <x v="52"/>
    <x v="53"/>
    <n v="3"/>
    <n v="0"/>
    <n v="1.9089"/>
  </r>
  <r>
    <s v="CA-2014-139451"/>
    <d v="2014-10-12T00:00:00"/>
    <x v="4"/>
    <s v="West"/>
    <s v="San Francisco"/>
    <s v="Office Supplies"/>
    <x v="38"/>
    <x v="54"/>
    <n v="5"/>
    <n v="0"/>
    <n v="4.1719999999999997"/>
  </r>
  <r>
    <s v="CA-2014-139451"/>
    <d v="2014-10-12T00:00:00"/>
    <x v="4"/>
    <s v="West"/>
    <s v="San Francisco"/>
    <s v="Office Supplies"/>
    <x v="53"/>
    <x v="55"/>
    <n v="1"/>
    <n v="0"/>
    <n v="6.2031000000000001"/>
  </r>
  <r>
    <s v="CA-2014-139892"/>
    <d v="2014-09-08T00:00:00"/>
    <x v="0"/>
    <s v="Central"/>
    <s v="San Antonio"/>
    <s v="Office Supplies"/>
    <x v="54"/>
    <x v="56"/>
    <n v="3"/>
    <n v="0.2"/>
    <n v="2.7324000000000002"/>
  </r>
  <r>
    <s v="CA-2014-139892"/>
    <d v="2014-09-08T00:00:00"/>
    <x v="0"/>
    <s v="Central"/>
    <s v="San Antonio"/>
    <s v="Technology"/>
    <x v="55"/>
    <x v="57"/>
    <n v="8"/>
    <n v="0.4"/>
    <n v="-1359.992"/>
  </r>
  <r>
    <s v="CA-2014-139892"/>
    <d v="2014-09-08T00:00:00"/>
    <x v="0"/>
    <s v="Central"/>
    <s v="San Antonio"/>
    <s v="Office Supplies"/>
    <x v="56"/>
    <x v="58"/>
    <n v="3"/>
    <n v="0.2"/>
    <n v="-58.634700000000002"/>
  </r>
  <r>
    <s v="CA-2014-139892"/>
    <d v="2014-09-08T00:00:00"/>
    <x v="0"/>
    <s v="Central"/>
    <s v="San Antonio"/>
    <s v="Furniture"/>
    <x v="57"/>
    <x v="59"/>
    <n v="9"/>
    <n v="0.3"/>
    <n v="-24.858000000000001"/>
  </r>
  <r>
    <s v="CA-2014-139892"/>
    <d v="2014-09-08T00:00:00"/>
    <x v="0"/>
    <s v="Central"/>
    <s v="San Antonio"/>
    <s v="Office Supplies"/>
    <x v="58"/>
    <x v="60"/>
    <n v="6"/>
    <n v="0.2"/>
    <n v="6.8136000000000001"/>
  </r>
  <r>
    <s v="CA-2014-139892"/>
    <d v="2014-09-08T00:00:00"/>
    <x v="0"/>
    <s v="Central"/>
    <s v="San Antonio"/>
    <s v="Office Supplies"/>
    <x v="59"/>
    <x v="61"/>
    <n v="5"/>
    <n v="0.8"/>
    <n v="-453.84899999999999"/>
  </r>
  <r>
    <s v="CA-2014-139892"/>
    <d v="2014-09-08T00:00:00"/>
    <x v="0"/>
    <s v="Central"/>
    <s v="San Antonio"/>
    <s v="Technology"/>
    <x v="60"/>
    <x v="62"/>
    <n v="3"/>
    <n v="0.2"/>
    <n v="8.9984999999999999"/>
  </r>
  <r>
    <s v="CA-2014-140004"/>
    <d v="2014-03-21T00:00:00"/>
    <x v="1"/>
    <s v="East"/>
    <s v="Hamilton"/>
    <s v="Office Supplies"/>
    <x v="61"/>
    <x v="63"/>
    <n v="2"/>
    <n v="0.2"/>
    <n v="1.2038"/>
  </r>
  <r>
    <s v="CA-2014-140004"/>
    <d v="2014-03-21T00:00:00"/>
    <x v="1"/>
    <s v="East"/>
    <s v="Hamilton"/>
    <s v="Office Supplies"/>
    <x v="62"/>
    <x v="64"/>
    <n v="3"/>
    <n v="0.2"/>
    <n v="1.5875999999999999"/>
  </r>
  <r>
    <s v="CA-2014-142048"/>
    <d v="2014-06-22T00:00:00"/>
    <x v="5"/>
    <s v="West"/>
    <s v="Louisville"/>
    <s v="Technology"/>
    <x v="63"/>
    <x v="65"/>
    <n v="6"/>
    <n v="0.2"/>
    <n v="56.566200000000002"/>
  </r>
  <r>
    <s v="CA-2014-143336"/>
    <d v="2014-08-27T00:00:00"/>
    <x v="6"/>
    <s v="West"/>
    <s v="San Francisco"/>
    <s v="Office Supplies"/>
    <x v="64"/>
    <x v="66"/>
    <n v="2"/>
    <n v="0"/>
    <n v="2.4824000000000002"/>
  </r>
  <r>
    <s v="CA-2014-143336"/>
    <d v="2014-08-27T00:00:00"/>
    <x v="6"/>
    <s v="West"/>
    <s v="San Francisco"/>
    <s v="Technology"/>
    <x v="65"/>
    <x v="67"/>
    <n v="3"/>
    <n v="0.2"/>
    <n v="16.010999999999999"/>
  </r>
  <r>
    <s v="CA-2014-143336"/>
    <d v="2014-08-27T00:00:00"/>
    <x v="6"/>
    <s v="West"/>
    <s v="San Francisco"/>
    <s v="Office Supplies"/>
    <x v="66"/>
    <x v="68"/>
    <n v="4"/>
    <n v="0.2"/>
    <n v="7.3840000000000003"/>
  </r>
  <r>
    <s v="CA-2014-144666"/>
    <d v="2014-11-09T00:00:00"/>
    <x v="2"/>
    <s v="West"/>
    <s v="San Francisco"/>
    <s v="Office Supplies"/>
    <x v="67"/>
    <x v="69"/>
    <n v="3"/>
    <n v="0"/>
    <n v="3.4091999999999998"/>
  </r>
  <r>
    <s v="CA-2014-144666"/>
    <d v="2014-11-09T00:00:00"/>
    <x v="2"/>
    <s v="West"/>
    <s v="San Francisco"/>
    <s v="Furniture"/>
    <x v="68"/>
    <x v="70"/>
    <n v="2"/>
    <n v="0.15"/>
    <n v="10.478400000000001"/>
  </r>
  <r>
    <s v="CA-2014-144666"/>
    <d v="2014-11-09T00:00:00"/>
    <x v="2"/>
    <s v="West"/>
    <s v="San Francisco"/>
    <s v="Technology"/>
    <x v="69"/>
    <x v="71"/>
    <n v="4"/>
    <n v="0.2"/>
    <n v="87.995999999999995"/>
  </r>
  <r>
    <s v="CA-2014-144666"/>
    <d v="2014-11-09T00:00:00"/>
    <x v="2"/>
    <s v="West"/>
    <s v="San Francisco"/>
    <s v="Office Supplies"/>
    <x v="70"/>
    <x v="72"/>
    <n v="6"/>
    <n v="0"/>
    <n v="24.980399999999999"/>
  </r>
  <r>
    <s v="CA-2014-144666"/>
    <d v="2014-11-09T00:00:00"/>
    <x v="2"/>
    <s v="West"/>
    <s v="San Francisco"/>
    <s v="Office Supplies"/>
    <x v="71"/>
    <x v="73"/>
    <n v="7"/>
    <n v="0"/>
    <n v="28.818999999999999"/>
  </r>
  <r>
    <s v="CA-2014-144666"/>
    <d v="2014-11-09T00:00:00"/>
    <x v="2"/>
    <s v="West"/>
    <s v="San Francisco"/>
    <s v="Office Supplies"/>
    <x v="72"/>
    <x v="74"/>
    <n v="5"/>
    <n v="0"/>
    <n v="45.527999999999999"/>
  </r>
  <r>
    <s v="CA-2014-146703"/>
    <d v="2014-10-20T00:00:00"/>
    <x v="4"/>
    <s v="Central"/>
    <s v="Westland"/>
    <s v="Office Supplies"/>
    <x v="37"/>
    <x v="37"/>
    <n v="4"/>
    <n v="0"/>
    <n v="8.4784000000000006"/>
  </r>
  <r>
    <s v="CA-2014-154627"/>
    <d v="2014-10-29T00:00:00"/>
    <x v="4"/>
    <s v="Central"/>
    <s v="Chicago"/>
    <s v="Technology"/>
    <x v="73"/>
    <x v="75"/>
    <n v="6"/>
    <n v="0.2"/>
    <n v="341.99400000000003"/>
  </r>
  <r>
    <s v="CA-2014-155208"/>
    <d v="2014-04-16T00:00:00"/>
    <x v="7"/>
    <s v="South"/>
    <s v="Wilmington"/>
    <s v="Office Supplies"/>
    <x v="74"/>
    <x v="76"/>
    <n v="6"/>
    <n v="0.2"/>
    <n v="9.7680000000000007"/>
  </r>
  <r>
    <s v="CA-2014-156601"/>
    <d v="2014-09-19T00:00:00"/>
    <x v="0"/>
    <s v="West"/>
    <s v="Long Beach"/>
    <s v="Office Supplies"/>
    <x v="75"/>
    <x v="77"/>
    <n v="2"/>
    <n v="0"/>
    <n v="3.58"/>
  </r>
  <r>
    <s v="CA-2014-158274"/>
    <d v="2014-11-19T00:00:00"/>
    <x v="2"/>
    <s v="South"/>
    <s v="Monroe"/>
    <s v="Technology"/>
    <x v="76"/>
    <x v="78"/>
    <n v="4"/>
    <n v="0"/>
    <n v="131.02959999999999"/>
  </r>
  <r>
    <s v="CA-2014-158274"/>
    <d v="2014-11-19T00:00:00"/>
    <x v="2"/>
    <s v="South"/>
    <s v="Monroe"/>
    <s v="Technology"/>
    <x v="77"/>
    <x v="79"/>
    <n v="5"/>
    <n v="0"/>
    <n v="41.985999999999997"/>
  </r>
  <r>
    <s v="CA-2014-158274"/>
    <d v="2014-11-19T00:00:00"/>
    <x v="2"/>
    <s v="South"/>
    <s v="Monroe"/>
    <s v="Technology"/>
    <x v="78"/>
    <x v="80"/>
    <n v="2"/>
    <n v="0"/>
    <n v="7.25"/>
  </r>
  <r>
    <s v="CA-2014-164259"/>
    <d v="2014-12-28T00:00:00"/>
    <x v="3"/>
    <s v="East"/>
    <s v="Philadelphia"/>
    <s v="Office Supplies"/>
    <x v="79"/>
    <x v="81"/>
    <n v="4"/>
    <n v="0.2"/>
    <n v="8.6744000000000003"/>
  </r>
  <r>
    <s v="CA-2014-164973"/>
    <d v="2014-11-04T00:00:00"/>
    <x v="2"/>
    <s v="East"/>
    <s v="New York City"/>
    <s v="Furniture"/>
    <x v="80"/>
    <x v="82"/>
    <n v="1"/>
    <n v="0.1"/>
    <n v="24.1568"/>
  </r>
  <r>
    <s v="CA-2014-164973"/>
    <d v="2014-11-04T00:00:00"/>
    <x v="2"/>
    <s v="East"/>
    <s v="New York City"/>
    <s v="Technology"/>
    <x v="81"/>
    <x v="83"/>
    <n v="2"/>
    <n v="0"/>
    <n v="1995.99"/>
  </r>
  <r>
    <s v="CA-2014-164973"/>
    <d v="2014-11-04T00:00:00"/>
    <x v="2"/>
    <s v="East"/>
    <s v="New York City"/>
    <s v="Technology"/>
    <x v="82"/>
    <x v="84"/>
    <n v="6"/>
    <n v="0"/>
    <n v="80.022599999999997"/>
  </r>
  <r>
    <s v="CA-2014-164973"/>
    <d v="2014-11-04T00:00:00"/>
    <x v="2"/>
    <s v="East"/>
    <s v="New York City"/>
    <s v="Technology"/>
    <x v="83"/>
    <x v="85"/>
    <n v="4"/>
    <n v="0"/>
    <n v="129.6"/>
  </r>
  <r>
    <s v="CA-2014-164973"/>
    <d v="2014-11-04T00:00:00"/>
    <x v="2"/>
    <s v="East"/>
    <s v="New York City"/>
    <s v="Office Supplies"/>
    <x v="84"/>
    <x v="86"/>
    <n v="1"/>
    <n v="0"/>
    <n v="13.071"/>
  </r>
  <r>
    <s v="CA-2014-166191"/>
    <d v="2014-12-05T00:00:00"/>
    <x v="3"/>
    <s v="Central"/>
    <s v="Decatur"/>
    <s v="Office Supplies"/>
    <x v="85"/>
    <x v="87"/>
    <n v="2"/>
    <n v="0.2"/>
    <n v="1.8612"/>
  </r>
  <r>
    <s v="CA-2014-166191"/>
    <d v="2014-12-05T00:00:00"/>
    <x v="3"/>
    <s v="Central"/>
    <s v="Decatur"/>
    <s v="Technology"/>
    <x v="86"/>
    <x v="88"/>
    <n v="7"/>
    <n v="0.2"/>
    <n v="76.639499999999998"/>
  </r>
  <r>
    <s v="CA-2014-167164"/>
    <d v="2014-05-13T00:00:00"/>
    <x v="9"/>
    <s v="West"/>
    <s v="West Jordan"/>
    <s v="Office Supplies"/>
    <x v="87"/>
    <x v="89"/>
    <n v="2"/>
    <n v="0"/>
    <n v="9.99"/>
  </r>
  <r>
    <s v="CA-2014-167850"/>
    <d v="2014-08-09T00:00:00"/>
    <x v="6"/>
    <s v="South"/>
    <s v="Saint Petersburg"/>
    <s v="Technology"/>
    <x v="88"/>
    <x v="90"/>
    <n v="2"/>
    <n v="0.2"/>
    <n v="22.297999999999998"/>
  </r>
  <r>
    <s v="CA-2014-167850"/>
    <d v="2014-08-09T00:00:00"/>
    <x v="6"/>
    <s v="South"/>
    <s v="Saint Petersburg"/>
    <s v="Office Supplies"/>
    <x v="89"/>
    <x v="91"/>
    <n v="3"/>
    <n v="0.2"/>
    <n v="5.4432"/>
  </r>
  <r>
    <s v="CA-2015-101007"/>
    <d v="2015-02-09T00:00:00"/>
    <x v="10"/>
    <s v="Central"/>
    <s v="Dallas"/>
    <s v="Technology"/>
    <x v="90"/>
    <x v="92"/>
    <n v="2"/>
    <n v="0.2"/>
    <n v="6.5"/>
  </r>
  <r>
    <s v="CA-2015-102281"/>
    <d v="2015-10-12T00:00:00"/>
    <x v="4"/>
    <s v="East"/>
    <s v="New York City"/>
    <s v="Furniture"/>
    <x v="91"/>
    <x v="93"/>
    <n v="4"/>
    <n v="0.2"/>
    <n v="112.392"/>
  </r>
  <r>
    <s v="CA-2015-102281"/>
    <d v="2015-10-12T00:00:00"/>
    <x v="4"/>
    <s v="East"/>
    <s v="New York City"/>
    <s v="Technology"/>
    <x v="92"/>
    <x v="94"/>
    <n v="6"/>
    <n v="0"/>
    <n v="20.0928"/>
  </r>
  <r>
    <s v="CA-2015-102281"/>
    <d v="2015-10-12T00:00:00"/>
    <x v="4"/>
    <s v="East"/>
    <s v="New York City"/>
    <s v="Office Supplies"/>
    <x v="46"/>
    <x v="95"/>
    <n v="8"/>
    <n v="0"/>
    <n v="24.883199999999999"/>
  </r>
  <r>
    <s v="CA-2015-102281"/>
    <d v="2015-10-12T00:00:00"/>
    <x v="4"/>
    <s v="East"/>
    <s v="New York City"/>
    <s v="Furniture"/>
    <x v="93"/>
    <x v="96"/>
    <n v="3"/>
    <n v="0.2"/>
    <n v="46.976399999999998"/>
  </r>
  <r>
    <s v="CA-2015-102281"/>
    <d v="2015-10-12T00:00:00"/>
    <x v="4"/>
    <s v="East"/>
    <s v="New York City"/>
    <s v="Office Supplies"/>
    <x v="94"/>
    <x v="97"/>
    <n v="5"/>
    <n v="0"/>
    <n v="6.5670000000000002"/>
  </r>
  <r>
    <s v="CA-2015-106320"/>
    <d v="2015-09-25T00:00:00"/>
    <x v="0"/>
    <s v="West"/>
    <s v="Orem"/>
    <s v="Furniture"/>
    <x v="95"/>
    <x v="98"/>
    <n v="3"/>
    <n v="0"/>
    <n v="240.26490000000001"/>
  </r>
  <r>
    <s v="CA-2015-109638"/>
    <d v="2015-12-15T00:00:00"/>
    <x v="3"/>
    <s v="West"/>
    <s v="Seattle"/>
    <s v="Office Supplies"/>
    <x v="96"/>
    <x v="99"/>
    <n v="4"/>
    <n v="0"/>
    <n v="36.372"/>
  </r>
  <r>
    <s v="CA-2015-109638"/>
    <d v="2015-12-15T00:00:00"/>
    <x v="3"/>
    <s v="West"/>
    <s v="Seattle"/>
    <s v="Technology"/>
    <x v="97"/>
    <x v="100"/>
    <n v="9"/>
    <n v="0"/>
    <n v="377.9622"/>
  </r>
  <r>
    <s v="CA-2015-109638"/>
    <d v="2015-12-15T00:00:00"/>
    <x v="3"/>
    <s v="West"/>
    <s v="Seattle"/>
    <s v="Office Supplies"/>
    <x v="98"/>
    <x v="101"/>
    <n v="3"/>
    <n v="0.2"/>
    <n v="18.6006"/>
  </r>
  <r>
    <s v="CA-2015-110457"/>
    <d v="2015-03-02T00:00:00"/>
    <x v="1"/>
    <s v="West"/>
    <s v="Seattle"/>
    <s v="Furniture"/>
    <x v="99"/>
    <x v="102"/>
    <n v="3"/>
    <n v="0"/>
    <n v="165.38130000000001"/>
  </r>
  <r>
    <s v="CA-2015-110744"/>
    <d v="2015-09-07T00:00:00"/>
    <x v="0"/>
    <s v="West"/>
    <s v="Pasadena"/>
    <s v="Office Supplies"/>
    <x v="100"/>
    <x v="103"/>
    <n v="7"/>
    <n v="0"/>
    <n v="20.157900000000001"/>
  </r>
  <r>
    <s v="CA-2015-115742"/>
    <d v="2015-04-18T00:00:00"/>
    <x v="7"/>
    <s v="Central"/>
    <s v="New Albany"/>
    <s v="Office Supplies"/>
    <x v="101"/>
    <x v="104"/>
    <n v="6"/>
    <n v="0"/>
    <n v="17.9634"/>
  </r>
  <r>
    <s v="CA-2015-115742"/>
    <d v="2015-04-18T00:00:00"/>
    <x v="7"/>
    <s v="Central"/>
    <s v="New Albany"/>
    <s v="Office Supplies"/>
    <x v="102"/>
    <x v="105"/>
    <n v="6"/>
    <n v="0"/>
    <n v="35.334600000000002"/>
  </r>
  <r>
    <s v="CA-2015-115742"/>
    <d v="2015-04-18T00:00:00"/>
    <x v="7"/>
    <s v="Central"/>
    <s v="New Albany"/>
    <s v="Furniture"/>
    <x v="103"/>
    <x v="106"/>
    <n v="2"/>
    <n v="0"/>
    <n v="2.9567999999999999"/>
  </r>
  <r>
    <s v="CA-2015-115742"/>
    <d v="2015-04-18T00:00:00"/>
    <x v="7"/>
    <s v="Central"/>
    <s v="New Albany"/>
    <s v="Furniture"/>
    <x v="104"/>
    <x v="107"/>
    <n v="1"/>
    <n v="0"/>
    <n v="17.098099999999999"/>
  </r>
  <r>
    <s v="CA-2015-117415"/>
    <d v="2015-12-27T00:00:00"/>
    <x v="3"/>
    <s v="Central"/>
    <s v="Houston"/>
    <s v="Office Supplies"/>
    <x v="105"/>
    <x v="108"/>
    <n v="9"/>
    <n v="0.2"/>
    <n v="35.414999999999999"/>
  </r>
  <r>
    <s v="CA-2015-117415"/>
    <d v="2015-12-27T00:00:00"/>
    <x v="3"/>
    <s v="Central"/>
    <s v="Houston"/>
    <s v="Furniture"/>
    <x v="93"/>
    <x v="109"/>
    <n v="3"/>
    <n v="0.32"/>
    <n v="-46.976399999999998"/>
  </r>
  <r>
    <s v="CA-2015-117415"/>
    <d v="2015-12-27T00:00:00"/>
    <x v="3"/>
    <s v="Central"/>
    <s v="Houston"/>
    <s v="Furniture"/>
    <x v="106"/>
    <x v="110"/>
    <n v="3"/>
    <n v="0.3"/>
    <n v="-15.147"/>
  </r>
  <r>
    <s v="CA-2015-117415"/>
    <d v="2015-12-27T00:00:00"/>
    <x v="3"/>
    <s v="Central"/>
    <s v="Houston"/>
    <s v="Technology"/>
    <x v="107"/>
    <x v="111"/>
    <n v="4"/>
    <n v="0.2"/>
    <n v="41.756399999999999"/>
  </r>
  <r>
    <s v="CA-2015-118948"/>
    <d v="2015-05-28T00:00:00"/>
    <x v="9"/>
    <s v="West"/>
    <s v="Seattle"/>
    <s v="Office Supplies"/>
    <x v="108"/>
    <x v="112"/>
    <n v="3"/>
    <n v="0"/>
    <n v="1.7901"/>
  </r>
  <r>
    <s v="CA-2015-119697"/>
    <d v="2015-12-28T00:00:00"/>
    <x v="3"/>
    <s v="East"/>
    <s v="Philadelphia"/>
    <s v="Technology"/>
    <x v="109"/>
    <x v="113"/>
    <n v="2"/>
    <n v="0.2"/>
    <n v="1.3595999999999999"/>
  </r>
  <r>
    <s v="CA-2015-122259"/>
    <d v="2015-10-31T00:00:00"/>
    <x v="4"/>
    <s v="Central"/>
    <s v="Jackson"/>
    <s v="Office Supplies"/>
    <x v="110"/>
    <x v="114"/>
    <n v="4"/>
    <n v="0"/>
    <n v="21.036000000000001"/>
  </r>
  <r>
    <s v="CA-2015-122756"/>
    <d v="2015-12-03T00:00:00"/>
    <x v="3"/>
    <s v="East"/>
    <s v="Philadelphia"/>
    <s v="Technology"/>
    <x v="111"/>
    <x v="115"/>
    <n v="4"/>
    <n v="0.7"/>
    <n v="-337.63799999999998"/>
  </r>
  <r>
    <s v="CA-2015-122756"/>
    <d v="2015-12-03T00:00:00"/>
    <x v="3"/>
    <s v="East"/>
    <s v="Philadelphia"/>
    <s v="Furniture"/>
    <x v="112"/>
    <x v="116"/>
    <n v="1"/>
    <n v="0.2"/>
    <n v="0.77700000000000002"/>
  </r>
  <r>
    <s v="CA-2015-124919"/>
    <d v="2015-05-31T00:00:00"/>
    <x v="9"/>
    <s v="West"/>
    <s v="San Jose"/>
    <s v="Office Supplies"/>
    <x v="113"/>
    <x v="117"/>
    <n v="7"/>
    <n v="0"/>
    <n v="26.271000000000001"/>
  </r>
  <r>
    <s v="CA-2015-124919"/>
    <d v="2015-05-31T00:00:00"/>
    <x v="9"/>
    <s v="West"/>
    <s v="San Jose"/>
    <s v="Office Supplies"/>
    <x v="114"/>
    <x v="118"/>
    <n v="4"/>
    <n v="0"/>
    <n v="48.539200000000001"/>
  </r>
  <r>
    <s v="CA-2015-124919"/>
    <d v="2015-05-31T00:00:00"/>
    <x v="9"/>
    <s v="West"/>
    <s v="San Jose"/>
    <s v="Office Supplies"/>
    <x v="115"/>
    <x v="119"/>
    <n v="6"/>
    <n v="0"/>
    <n v="21.0288"/>
  </r>
  <r>
    <s v="CA-2015-125395"/>
    <d v="2015-06-26T00:00:00"/>
    <x v="5"/>
    <s v="Central"/>
    <s v="Taylor"/>
    <s v="Technology"/>
    <x v="116"/>
    <x v="120"/>
    <n v="2"/>
    <n v="0"/>
    <n v="8.7989999999999995"/>
  </r>
  <r>
    <s v="CA-2015-128167"/>
    <d v="2015-06-22T00:00:00"/>
    <x v="5"/>
    <s v="West"/>
    <s v="Layton"/>
    <s v="Office Supplies"/>
    <x v="117"/>
    <x v="121"/>
    <n v="4"/>
    <n v="0"/>
    <n v="2.3311999999999999"/>
  </r>
  <r>
    <s v="CA-2015-129476"/>
    <d v="2015-10-15T00:00:00"/>
    <x v="4"/>
    <s v="Central"/>
    <s v="Orland Park"/>
    <s v="Technology"/>
    <x v="118"/>
    <x v="122"/>
    <n v="5"/>
    <n v="0.2"/>
    <n v="67.992000000000004"/>
  </r>
  <r>
    <s v="CA-2015-130792"/>
    <d v="2015-04-28T00:00:00"/>
    <x v="7"/>
    <s v="Central"/>
    <s v="Houston"/>
    <s v="Office Supplies"/>
    <x v="119"/>
    <x v="123"/>
    <n v="3"/>
    <n v="0.8"/>
    <n v="-20.3322"/>
  </r>
  <r>
    <s v="CA-2015-130792"/>
    <d v="2015-04-28T00:00:00"/>
    <x v="7"/>
    <s v="Central"/>
    <s v="Houston"/>
    <s v="Office Supplies"/>
    <x v="120"/>
    <x v="124"/>
    <n v="3"/>
    <n v="0.2"/>
    <n v="2.6810999999999998"/>
  </r>
  <r>
    <s v="CA-2015-130792"/>
    <d v="2015-04-28T00:00:00"/>
    <x v="7"/>
    <s v="Central"/>
    <s v="Houston"/>
    <s v="Office Supplies"/>
    <x v="121"/>
    <x v="125"/>
    <n v="4"/>
    <n v="0.8"/>
    <n v="-18.872800000000002"/>
  </r>
  <r>
    <s v="CA-2015-130883"/>
    <d v="2015-09-26T00:00:00"/>
    <x v="0"/>
    <s v="West"/>
    <s v="Portland"/>
    <s v="Office Supplies"/>
    <x v="122"/>
    <x v="126"/>
    <n v="5"/>
    <n v="0.2"/>
    <n v="47.844000000000001"/>
  </r>
  <r>
    <s v="CA-2015-130883"/>
    <d v="2015-09-26T00:00:00"/>
    <x v="0"/>
    <s v="West"/>
    <s v="Portland"/>
    <s v="Technology"/>
    <x v="123"/>
    <x v="127"/>
    <n v="5"/>
    <n v="0.2"/>
    <n v="47.96"/>
  </r>
  <r>
    <s v="CA-2015-130883"/>
    <d v="2015-09-26T00:00:00"/>
    <x v="0"/>
    <s v="West"/>
    <s v="Portland"/>
    <s v="Office Supplies"/>
    <x v="124"/>
    <x v="128"/>
    <n v="6"/>
    <n v="0.2"/>
    <n v="10.8864"/>
  </r>
  <r>
    <s v="CA-2015-130890"/>
    <d v="2015-11-02T00:00:00"/>
    <x v="2"/>
    <s v="West"/>
    <s v="Los Angeles"/>
    <s v="Furniture"/>
    <x v="125"/>
    <x v="129"/>
    <n v="5"/>
    <n v="0.2"/>
    <n v="51.942"/>
  </r>
  <r>
    <s v="CA-2015-131457"/>
    <d v="2015-10-31T00:00:00"/>
    <x v="4"/>
    <s v="West"/>
    <s v="Redlands"/>
    <s v="Office Supplies"/>
    <x v="126"/>
    <x v="130"/>
    <n v="7"/>
    <n v="0"/>
    <n v="6.7115999999999998"/>
  </r>
  <r>
    <s v="CA-2015-134782"/>
    <d v="2015-12-27T00:00:00"/>
    <x v="3"/>
    <s v="South"/>
    <s v="Fayetteville"/>
    <s v="Office Supplies"/>
    <x v="127"/>
    <x v="131"/>
    <n v="2"/>
    <n v="0"/>
    <n v="51.655799999999999"/>
  </r>
  <r>
    <s v="CA-2015-135545"/>
    <d v="2015-11-24T00:00:00"/>
    <x v="2"/>
    <s v="West"/>
    <s v="Los Angeles"/>
    <s v="Technology"/>
    <x v="128"/>
    <x v="132"/>
    <n v="2"/>
    <n v="0"/>
    <n v="6.1512000000000002"/>
  </r>
  <r>
    <s v="CA-2015-135545"/>
    <d v="2015-11-24T00:00:00"/>
    <x v="2"/>
    <s v="West"/>
    <s v="Los Angeles"/>
    <s v="Office Supplies"/>
    <x v="129"/>
    <x v="133"/>
    <n v="6"/>
    <n v="0.2"/>
    <n v="9.3612000000000002"/>
  </r>
  <r>
    <s v="CA-2015-135545"/>
    <d v="2015-11-24T00:00:00"/>
    <x v="2"/>
    <s v="West"/>
    <s v="Los Angeles"/>
    <s v="Office Supplies"/>
    <x v="130"/>
    <x v="134"/>
    <n v="3"/>
    <n v="0"/>
    <n v="68.963099999999997"/>
  </r>
  <r>
    <s v="CA-2015-135545"/>
    <d v="2015-11-24T00:00:00"/>
    <x v="2"/>
    <s v="West"/>
    <s v="Los Angeles"/>
    <s v="Furniture"/>
    <x v="131"/>
    <x v="135"/>
    <n v="4"/>
    <n v="0"/>
    <n v="22.332799999999999"/>
  </r>
  <r>
    <s v="CA-2015-137225"/>
    <d v="2015-12-15T00:00:00"/>
    <x v="3"/>
    <s v="East"/>
    <s v="New York City"/>
    <s v="Office Supplies"/>
    <x v="132"/>
    <x v="136"/>
    <n v="1"/>
    <n v="0"/>
    <n v="1.4104000000000001"/>
  </r>
  <r>
    <s v="CA-2015-137946"/>
    <d v="2015-09-01T00:00:00"/>
    <x v="0"/>
    <s v="West"/>
    <s v="Los Angeles"/>
    <s v="Office Supplies"/>
    <x v="133"/>
    <x v="137"/>
    <n v="1"/>
    <n v="0.2"/>
    <n v="1.6037999999999999"/>
  </r>
  <r>
    <s v="CA-2015-137946"/>
    <d v="2015-09-01T00:00:00"/>
    <x v="0"/>
    <s v="West"/>
    <s v="Los Angeles"/>
    <s v="Technology"/>
    <x v="134"/>
    <x v="138"/>
    <n v="2"/>
    <n v="0.2"/>
    <n v="335.99439999999998"/>
  </r>
  <r>
    <s v="CA-2015-137946"/>
    <d v="2015-09-01T00:00:00"/>
    <x v="0"/>
    <s v="West"/>
    <s v="Los Angeles"/>
    <s v="Office Supplies"/>
    <x v="135"/>
    <x v="139"/>
    <n v="4"/>
    <n v="0.2"/>
    <n v="4.49"/>
  </r>
  <r>
    <s v="CA-2015-144253"/>
    <d v="2015-05-04T00:00:00"/>
    <x v="9"/>
    <s v="East"/>
    <s v="New York City"/>
    <s v="Furniture"/>
    <x v="136"/>
    <x v="140"/>
    <n v="2"/>
    <n v="0"/>
    <n v="12.864000000000001"/>
  </r>
  <r>
    <s v="CA-2015-146262"/>
    <d v="2015-01-02T00:00:00"/>
    <x v="11"/>
    <s v="East"/>
    <s v="Medina"/>
    <s v="Office Supplies"/>
    <x v="137"/>
    <x v="141"/>
    <n v="2"/>
    <n v="0.2"/>
    <n v="8.8800000000000008"/>
  </r>
  <r>
    <s v="CA-2015-146262"/>
    <d v="2015-01-02T00:00:00"/>
    <x v="11"/>
    <s v="East"/>
    <s v="Medina"/>
    <s v="Furniture"/>
    <x v="138"/>
    <x v="142"/>
    <n v="5"/>
    <n v="0.5"/>
    <n v="-244.32300000000001"/>
  </r>
  <r>
    <s v="CA-2015-146262"/>
    <d v="2015-01-02T00:00:00"/>
    <x v="11"/>
    <s v="East"/>
    <s v="Medina"/>
    <s v="Technology"/>
    <x v="139"/>
    <x v="143"/>
    <n v="3"/>
    <n v="0.4"/>
    <n v="-14.6958"/>
  </r>
  <r>
    <s v="CA-2015-146262"/>
    <d v="2015-01-02T00:00:00"/>
    <x v="11"/>
    <s v="East"/>
    <s v="Medina"/>
    <s v="Technology"/>
    <x v="140"/>
    <x v="144"/>
    <n v="9"/>
    <n v="0.7"/>
    <n v="-950.4"/>
  </r>
  <r>
    <s v="CA-2015-146262"/>
    <d v="2015-01-02T00:00:00"/>
    <x v="11"/>
    <s v="East"/>
    <s v="Medina"/>
    <s v="Technology"/>
    <x v="141"/>
    <x v="145"/>
    <n v="2"/>
    <n v="0.2"/>
    <n v="4.4791999999999996"/>
  </r>
  <r>
    <s v="CA-2015-149587"/>
    <d v="2015-01-31T00:00:00"/>
    <x v="11"/>
    <s v="Central"/>
    <s v="Minneapolis"/>
    <s v="Office Supplies"/>
    <x v="142"/>
    <x v="146"/>
    <n v="2"/>
    <n v="0"/>
    <n v="6.2207999999999997"/>
  </r>
  <r>
    <s v="CA-2015-149587"/>
    <d v="2015-01-31T00:00:00"/>
    <x v="11"/>
    <s v="Central"/>
    <s v="Minneapolis"/>
    <s v="Furniture"/>
    <x v="143"/>
    <x v="147"/>
    <n v="3"/>
    <n v="0"/>
    <n v="16.535399999999999"/>
  </r>
  <r>
    <s v="CA-2015-149587"/>
    <d v="2015-01-31T00:00:00"/>
    <x v="11"/>
    <s v="Central"/>
    <s v="Minneapolis"/>
    <s v="Office Supplies"/>
    <x v="144"/>
    <x v="148"/>
    <n v="2"/>
    <n v="0"/>
    <n v="16.150400000000001"/>
  </r>
  <r>
    <s v="CA-2015-149734"/>
    <d v="2015-09-03T00:00:00"/>
    <x v="0"/>
    <s v="South"/>
    <s v="Durham"/>
    <s v="Office Supplies"/>
    <x v="145"/>
    <x v="149"/>
    <n v="7"/>
    <n v="0.2"/>
    <n v="62.807499999999997"/>
  </r>
  <r>
    <s v="CA-2015-154144"/>
    <d v="2015-12-20T00:00:00"/>
    <x v="3"/>
    <s v="East"/>
    <s v="Lindenhurst"/>
    <s v="Office Supplies"/>
    <x v="146"/>
    <x v="150"/>
    <n v="1"/>
    <n v="0"/>
    <n v="26.630400000000002"/>
  </r>
  <r>
    <s v="CA-2015-155040"/>
    <d v="2015-11-10T00:00:00"/>
    <x v="2"/>
    <s v="West"/>
    <s v="Brentwood"/>
    <s v="Technology"/>
    <x v="147"/>
    <x v="151"/>
    <n v="2"/>
    <n v="0"/>
    <n v="35.155999999999999"/>
  </r>
  <r>
    <s v="CA-2015-155334"/>
    <d v="2015-07-30T00:00:00"/>
    <x v="8"/>
    <s v="West"/>
    <s v="San Francisco"/>
    <s v="Technology"/>
    <x v="148"/>
    <x v="152"/>
    <n v="7"/>
    <n v="0"/>
    <n v="92.369200000000006"/>
  </r>
  <r>
    <s v="CA-2015-155334"/>
    <d v="2015-07-30T00:00:00"/>
    <x v="8"/>
    <s v="West"/>
    <s v="San Francisco"/>
    <s v="Furniture"/>
    <x v="149"/>
    <x v="153"/>
    <n v="3"/>
    <n v="0"/>
    <n v="2.3231999999999999"/>
  </r>
  <r>
    <s v="CA-2015-155334"/>
    <d v="2015-07-30T00:00:00"/>
    <x v="8"/>
    <s v="West"/>
    <s v="San Francisco"/>
    <s v="Office Supplies"/>
    <x v="150"/>
    <x v="154"/>
    <n v="3"/>
    <n v="0.2"/>
    <n v="4.0949999999999998"/>
  </r>
  <r>
    <s v="CA-2015-163055"/>
    <d v="2015-08-09T00:00:00"/>
    <x v="6"/>
    <s v="Central"/>
    <s v="Detroit"/>
    <s v="Office Supplies"/>
    <x v="151"/>
    <x v="155"/>
    <n v="1"/>
    <n v="0"/>
    <n v="0.96799999999999997"/>
  </r>
  <r>
    <s v="CA-2015-163055"/>
    <d v="2015-08-09T00:00:00"/>
    <x v="6"/>
    <s v="Central"/>
    <s v="Detroit"/>
    <s v="Furniture"/>
    <x v="152"/>
    <x v="156"/>
    <n v="5"/>
    <n v="0"/>
    <n v="136.93899999999999"/>
  </r>
  <r>
    <s v="CA-2015-163055"/>
    <d v="2015-08-09T00:00:00"/>
    <x v="6"/>
    <s v="Central"/>
    <s v="Detroit"/>
    <s v="Office Supplies"/>
    <x v="153"/>
    <x v="157"/>
    <n v="1"/>
    <n v="0"/>
    <n v="0.2198"/>
  </r>
  <r>
    <s v="CA-2015-169397"/>
    <d v="2015-12-24T00:00:00"/>
    <x v="3"/>
    <s v="East"/>
    <s v="Dublin"/>
    <s v="Office Supplies"/>
    <x v="154"/>
    <x v="158"/>
    <n v="2"/>
    <n v="0.2"/>
    <n v="1.8148"/>
  </r>
  <r>
    <s v="CA-2015-169397"/>
    <d v="2015-12-24T00:00:00"/>
    <x v="3"/>
    <s v="East"/>
    <s v="Dublin"/>
    <s v="Office Supplies"/>
    <x v="155"/>
    <x v="159"/>
    <n v="6"/>
    <n v="0.2"/>
    <n v="8.2302"/>
  </r>
  <r>
    <s v="CA-2015-169397"/>
    <d v="2015-12-24T00:00:00"/>
    <x v="3"/>
    <s v="East"/>
    <s v="Dublin"/>
    <s v="Office Supplies"/>
    <x v="144"/>
    <x v="160"/>
    <n v="4"/>
    <n v="0.7"/>
    <n v="-13.8432"/>
  </r>
  <r>
    <s v="CA-2015-169397"/>
    <d v="2015-12-24T00:00:00"/>
    <x v="3"/>
    <s v="East"/>
    <s v="Dublin"/>
    <s v="Furniture"/>
    <x v="156"/>
    <x v="161"/>
    <n v="4"/>
    <n v="0.2"/>
    <n v="19.084800000000001"/>
  </r>
  <r>
    <s v="CA-2015-169397"/>
    <d v="2015-12-24T00:00:00"/>
    <x v="3"/>
    <s v="East"/>
    <s v="Dublin"/>
    <s v="Technology"/>
    <x v="157"/>
    <x v="162"/>
    <n v="4"/>
    <n v="0.7"/>
    <n v="-383.99040000000002"/>
  </r>
  <r>
    <s v="CA-2015-169397"/>
    <d v="2015-12-24T00:00:00"/>
    <x v="3"/>
    <s v="East"/>
    <s v="Dublin"/>
    <s v="Office Supplies"/>
    <x v="158"/>
    <x v="163"/>
    <n v="2"/>
    <n v="0.2"/>
    <n v="2.7168000000000001"/>
  </r>
  <r>
    <s v="CA-2016-100153"/>
    <d v="2016-12-13T00:00:00"/>
    <x v="3"/>
    <s v="Central"/>
    <s v="Norman"/>
    <s v="Technology"/>
    <x v="159"/>
    <x v="164"/>
    <n v="4"/>
    <n v="0"/>
    <n v="24.9132"/>
  </r>
  <r>
    <s v="CA-2016-100790"/>
    <d v="2016-06-26T00:00:00"/>
    <x v="5"/>
    <s v="East"/>
    <s v="New York City"/>
    <s v="Office Supplies"/>
    <x v="160"/>
    <x v="165"/>
    <n v="5"/>
    <n v="0"/>
    <n v="6.6150000000000002"/>
  </r>
  <r>
    <s v="CA-2016-100790"/>
    <d v="2016-06-26T00:00:00"/>
    <x v="5"/>
    <s v="East"/>
    <s v="New York City"/>
    <s v="Office Supplies"/>
    <x v="161"/>
    <x v="166"/>
    <n v="5"/>
    <n v="0"/>
    <n v="84.51"/>
  </r>
  <r>
    <s v="CA-2016-101343"/>
    <d v="2016-07-17T00:00:00"/>
    <x v="8"/>
    <s v="West"/>
    <s v="Los Angeles"/>
    <s v="Office Supplies"/>
    <x v="162"/>
    <x v="167"/>
    <n v="2"/>
    <n v="0"/>
    <n v="3.8940000000000001"/>
  </r>
  <r>
    <s v="CA-2016-103730"/>
    <d v="2016-06-12T00:00:00"/>
    <x v="5"/>
    <s v="East"/>
    <s v="Wilmington"/>
    <s v="Furniture"/>
    <x v="163"/>
    <x v="168"/>
    <n v="3"/>
    <n v="0"/>
    <n v="18.345600000000001"/>
  </r>
  <r>
    <s v="CA-2016-103730"/>
    <d v="2016-06-12T00:00:00"/>
    <x v="5"/>
    <s v="East"/>
    <s v="Wilmington"/>
    <s v="Office Supplies"/>
    <x v="23"/>
    <x v="169"/>
    <n v="4"/>
    <n v="0"/>
    <n v="13.878"/>
  </r>
  <r>
    <s v="CA-2016-103730"/>
    <d v="2016-06-12T00:00:00"/>
    <x v="5"/>
    <s v="East"/>
    <s v="Wilmington"/>
    <s v="Office Supplies"/>
    <x v="164"/>
    <x v="170"/>
    <n v="6"/>
    <n v="0"/>
    <n v="63.436799999999998"/>
  </r>
  <r>
    <s v="CA-2016-103730"/>
    <d v="2016-06-12T00:00:00"/>
    <x v="5"/>
    <s v="East"/>
    <s v="Wilmington"/>
    <s v="Office Supplies"/>
    <x v="165"/>
    <x v="171"/>
    <n v="9"/>
    <n v="0"/>
    <n v="51.759"/>
  </r>
  <r>
    <s v="CA-2016-103730"/>
    <d v="2016-06-12T00:00:00"/>
    <x v="5"/>
    <s v="East"/>
    <s v="Wilmington"/>
    <s v="Technology"/>
    <x v="166"/>
    <x v="172"/>
    <n v="7"/>
    <n v="0"/>
    <n v="19.7316"/>
  </r>
  <r>
    <s v="CA-2016-103891"/>
    <d v="2016-07-12T00:00:00"/>
    <x v="8"/>
    <s v="West"/>
    <s v="Los Angeles"/>
    <s v="Technology"/>
    <x v="167"/>
    <x v="173"/>
    <n v="6"/>
    <n v="0.2"/>
    <n v="7.1820000000000004"/>
  </r>
  <r>
    <s v="CA-2016-105018"/>
    <d v="2016-11-28T00:00:00"/>
    <x v="2"/>
    <s v="East"/>
    <s v="Fairfield"/>
    <s v="Office Supplies"/>
    <x v="168"/>
    <x v="77"/>
    <n v="2"/>
    <n v="0"/>
    <n v="3.4367999999999999"/>
  </r>
  <r>
    <s v="CA-2016-105816"/>
    <d v="2016-12-11T00:00:00"/>
    <x v="3"/>
    <s v="East"/>
    <s v="New York City"/>
    <s v="Office Supplies"/>
    <x v="169"/>
    <x v="174"/>
    <n v="7"/>
    <n v="0"/>
    <n v="6.2565999999999997"/>
  </r>
  <r>
    <s v="CA-2016-105816"/>
    <d v="2016-12-11T00:00:00"/>
    <x v="3"/>
    <s v="East"/>
    <s v="New York City"/>
    <s v="Technology"/>
    <x v="170"/>
    <x v="175"/>
    <n v="5"/>
    <n v="0"/>
    <n v="298.68549999999999"/>
  </r>
  <r>
    <s v="CA-2016-106075"/>
    <d v="2016-09-18T00:00:00"/>
    <x v="0"/>
    <s v="East"/>
    <s v="New York City"/>
    <s v="Office Supplies"/>
    <x v="171"/>
    <x v="176"/>
    <n v="1"/>
    <n v="0.2"/>
    <n v="1.7310000000000001"/>
  </r>
  <r>
    <s v="CA-2016-108987"/>
    <d v="2016-09-08T00:00:00"/>
    <x v="0"/>
    <s v="Central"/>
    <s v="Houston"/>
    <s v="Office Supplies"/>
    <x v="172"/>
    <x v="177"/>
    <n v="3"/>
    <n v="0.2"/>
    <n v="3.5952000000000002"/>
  </r>
  <r>
    <s v="CA-2016-108987"/>
    <d v="2016-09-08T00:00:00"/>
    <x v="0"/>
    <s v="Central"/>
    <s v="Houston"/>
    <s v="Furniture"/>
    <x v="173"/>
    <x v="178"/>
    <n v="4"/>
    <n v="0.32"/>
    <n v="-317.15280000000001"/>
  </r>
  <r>
    <s v="CA-2016-108987"/>
    <d v="2016-09-08T00:00:00"/>
    <x v="0"/>
    <s v="Central"/>
    <s v="Houston"/>
    <s v="Office Supplies"/>
    <x v="174"/>
    <x v="179"/>
    <n v="4"/>
    <n v="0.2"/>
    <n v="-32.783999999999999"/>
  </r>
  <r>
    <s v="CA-2016-108987"/>
    <d v="2016-09-08T00:00:00"/>
    <x v="0"/>
    <s v="Central"/>
    <s v="Houston"/>
    <s v="Technology"/>
    <x v="175"/>
    <x v="180"/>
    <n v="2"/>
    <n v="0.2"/>
    <n v="0.7198"/>
  </r>
  <r>
    <s v="CA-2016-109806"/>
    <d v="2016-09-17T00:00:00"/>
    <x v="0"/>
    <s v="West"/>
    <s v="Los Angeles"/>
    <s v="Office Supplies"/>
    <x v="176"/>
    <x v="181"/>
    <n v="3"/>
    <n v="0"/>
    <n v="6.633"/>
  </r>
  <r>
    <s v="CA-2016-109806"/>
    <d v="2016-09-17T00:00:00"/>
    <x v="0"/>
    <s v="West"/>
    <s v="Los Angeles"/>
    <s v="Technology"/>
    <x v="82"/>
    <x v="182"/>
    <n v="2"/>
    <n v="0.2"/>
    <n v="8.2782"/>
  </r>
  <r>
    <s v="CA-2016-109806"/>
    <d v="2016-09-17T00:00:00"/>
    <x v="0"/>
    <s v="West"/>
    <s v="Los Angeles"/>
    <s v="Office Supplies"/>
    <x v="177"/>
    <x v="183"/>
    <n v="1"/>
    <n v="0"/>
    <n v="3.1103999999999998"/>
  </r>
  <r>
    <s v="CA-2016-109869"/>
    <d v="2016-04-22T00:00:00"/>
    <x v="7"/>
    <s v="West"/>
    <s v="Phoenix"/>
    <s v="Furniture"/>
    <x v="178"/>
    <x v="184"/>
    <n v="5"/>
    <n v="0.2"/>
    <n v="7.0679999999999996"/>
  </r>
  <r>
    <s v="CA-2016-109869"/>
    <d v="2016-04-22T00:00:00"/>
    <x v="7"/>
    <s v="West"/>
    <s v="Phoenix"/>
    <s v="Furniture"/>
    <x v="179"/>
    <x v="185"/>
    <n v="6"/>
    <n v="0.5"/>
    <n v="-814.48320000000001"/>
  </r>
  <r>
    <s v="CA-2016-109869"/>
    <d v="2016-04-22T00:00:00"/>
    <x v="7"/>
    <s v="West"/>
    <s v="Phoenix"/>
    <s v="Office Supplies"/>
    <x v="180"/>
    <x v="186"/>
    <n v="5"/>
    <n v="0.7"/>
    <n v="-20.888999999999999"/>
  </r>
  <r>
    <s v="CA-2016-109869"/>
    <d v="2016-04-22T00:00:00"/>
    <x v="7"/>
    <s v="West"/>
    <s v="Phoenix"/>
    <s v="Office Supplies"/>
    <x v="181"/>
    <x v="187"/>
    <n v="2"/>
    <n v="0.2"/>
    <n v="-34.758000000000003"/>
  </r>
  <r>
    <s v="CA-2016-109869"/>
    <d v="2016-04-22T00:00:00"/>
    <x v="7"/>
    <s v="West"/>
    <s v="Phoenix"/>
    <s v="Office Supplies"/>
    <x v="182"/>
    <x v="188"/>
    <n v="2"/>
    <n v="0.2"/>
    <n v="5.8704000000000001"/>
  </r>
  <r>
    <s v="CA-2016-110366"/>
    <d v="2016-09-05T00:00:00"/>
    <x v="0"/>
    <s v="East"/>
    <s v="Philadelphia"/>
    <s v="Furniture"/>
    <x v="183"/>
    <x v="189"/>
    <n v="2"/>
    <n v="0.2"/>
    <n v="10.35"/>
  </r>
  <r>
    <s v="CA-2016-110772"/>
    <d v="2016-11-20T00:00:00"/>
    <x v="2"/>
    <s v="East"/>
    <s v="Columbus"/>
    <s v="Office Supplies"/>
    <x v="184"/>
    <x v="190"/>
    <n v="7"/>
    <n v="0.2"/>
    <n v="6.6836000000000002"/>
  </r>
  <r>
    <s v="CA-2016-110772"/>
    <d v="2016-11-20T00:00:00"/>
    <x v="2"/>
    <s v="East"/>
    <s v="Columbus"/>
    <s v="Office Supplies"/>
    <x v="185"/>
    <x v="191"/>
    <n v="8"/>
    <n v="0.2"/>
    <n v="6.2423999999999999"/>
  </r>
  <r>
    <s v="CA-2016-110772"/>
    <d v="2016-11-20T00:00:00"/>
    <x v="2"/>
    <s v="East"/>
    <s v="Columbus"/>
    <s v="Technology"/>
    <x v="186"/>
    <x v="192"/>
    <n v="2"/>
    <n v="0.2"/>
    <n v="54.396599999999999"/>
  </r>
  <r>
    <s v="CA-2016-110772"/>
    <d v="2016-11-20T00:00:00"/>
    <x v="2"/>
    <s v="East"/>
    <s v="Columbus"/>
    <s v="Furniture"/>
    <x v="187"/>
    <x v="193"/>
    <n v="3"/>
    <n v="0.5"/>
    <n v="-48.703200000000002"/>
  </r>
  <r>
    <s v="CA-2016-111010"/>
    <d v="2016-01-22T00:00:00"/>
    <x v="11"/>
    <s v="East"/>
    <s v="Morristown"/>
    <s v="Office Supplies"/>
    <x v="188"/>
    <x v="194"/>
    <n v="6"/>
    <n v="0"/>
    <n v="0.3024"/>
  </r>
  <r>
    <s v="CA-2016-111682"/>
    <d v="2016-06-17T00:00:00"/>
    <x v="5"/>
    <s v="East"/>
    <s v="Troy"/>
    <s v="Office Supplies"/>
    <x v="189"/>
    <x v="195"/>
    <n v="6"/>
    <n v="0"/>
    <n v="52.14"/>
  </r>
  <r>
    <s v="CA-2016-111682"/>
    <d v="2016-06-17T00:00:00"/>
    <x v="5"/>
    <s v="East"/>
    <s v="Troy"/>
    <s v="Office Supplies"/>
    <x v="190"/>
    <x v="196"/>
    <n v="5"/>
    <n v="0"/>
    <n v="15.552"/>
  </r>
  <r>
    <s v="CA-2016-111682"/>
    <d v="2016-06-17T00:00:00"/>
    <x v="5"/>
    <s v="East"/>
    <s v="Troy"/>
    <s v="Furniture"/>
    <x v="191"/>
    <x v="197"/>
    <n v="5"/>
    <n v="0.1"/>
    <n v="7.0979999999999999"/>
  </r>
  <r>
    <s v="CA-2016-111682"/>
    <d v="2016-06-17T00:00:00"/>
    <x v="5"/>
    <s v="East"/>
    <s v="Troy"/>
    <s v="Office Supplies"/>
    <x v="192"/>
    <x v="198"/>
    <n v="2"/>
    <n v="0"/>
    <n v="6.9888000000000003"/>
  </r>
  <r>
    <s v="CA-2016-111682"/>
    <d v="2016-06-17T00:00:00"/>
    <x v="5"/>
    <s v="East"/>
    <s v="Troy"/>
    <s v="Technology"/>
    <x v="193"/>
    <x v="199"/>
    <n v="2"/>
    <n v="0"/>
    <n v="3.3"/>
  </r>
  <r>
    <s v="CA-2016-111682"/>
    <d v="2016-06-17T00:00:00"/>
    <x v="5"/>
    <s v="East"/>
    <s v="Troy"/>
    <s v="Office Supplies"/>
    <x v="194"/>
    <x v="200"/>
    <n v="4"/>
    <n v="0.2"/>
    <n v="16.361999999999998"/>
  </r>
  <r>
    <s v="CA-2016-111682"/>
    <d v="2016-06-17T00:00:00"/>
    <x v="5"/>
    <s v="East"/>
    <s v="Troy"/>
    <s v="Office Supplies"/>
    <x v="195"/>
    <x v="201"/>
    <n v="1"/>
    <n v="0"/>
    <n v="0.84"/>
  </r>
  <r>
    <s v="CA-2016-112697"/>
    <d v="2016-12-18T00:00:00"/>
    <x v="3"/>
    <s v="South"/>
    <s v="Tamarac"/>
    <s v="Office Supplies"/>
    <x v="196"/>
    <x v="202"/>
    <n v="7"/>
    <n v="0.7"/>
    <n v="-169.37200000000001"/>
  </r>
  <r>
    <s v="CA-2016-112697"/>
    <d v="2016-12-18T00:00:00"/>
    <x v="3"/>
    <s v="South"/>
    <s v="Tamarac"/>
    <s v="Office Supplies"/>
    <x v="197"/>
    <x v="203"/>
    <n v="2"/>
    <n v="0.2"/>
    <n v="24.315999999999999"/>
  </r>
  <r>
    <s v="CA-2016-112697"/>
    <d v="2016-12-18T00:00:00"/>
    <x v="3"/>
    <s v="South"/>
    <s v="Tamarac"/>
    <s v="Office Supplies"/>
    <x v="198"/>
    <x v="204"/>
    <n v="5"/>
    <n v="0.2"/>
    <n v="-204.31450000000001"/>
  </r>
  <r>
    <s v="CA-2016-113817"/>
    <d v="2016-11-07T00:00:00"/>
    <x v="2"/>
    <s v="West"/>
    <s v="Seattle"/>
    <s v="Office Supplies"/>
    <x v="199"/>
    <x v="205"/>
    <n v="2"/>
    <n v="0.2"/>
    <n v="9.6880000000000006"/>
  </r>
  <r>
    <s v="CA-2016-114104"/>
    <d v="2016-11-20T00:00:00"/>
    <x v="2"/>
    <s v="Central"/>
    <s v="Edmond"/>
    <s v="Office Supplies"/>
    <x v="200"/>
    <x v="206"/>
    <n v="2"/>
    <n v="0"/>
    <n v="6.8714000000000004"/>
  </r>
  <r>
    <s v="CA-2016-114104"/>
    <d v="2016-11-20T00:00:00"/>
    <x v="2"/>
    <s v="Central"/>
    <s v="Edmond"/>
    <s v="Technology"/>
    <x v="201"/>
    <x v="207"/>
    <n v="7"/>
    <n v="0"/>
    <n v="236.23249999999999"/>
  </r>
  <r>
    <s v="CA-2016-114489"/>
    <d v="2016-12-05T00:00:00"/>
    <x v="3"/>
    <s v="Central"/>
    <s v="Franklin"/>
    <s v="Technology"/>
    <x v="202"/>
    <x v="208"/>
    <n v="11"/>
    <n v="0"/>
    <n v="103.8015"/>
  </r>
  <r>
    <s v="CA-2016-114489"/>
    <d v="2016-12-05T00:00:00"/>
    <x v="3"/>
    <s v="Central"/>
    <s v="Franklin"/>
    <s v="Technology"/>
    <x v="203"/>
    <x v="209"/>
    <n v="3"/>
    <n v="0"/>
    <n v="5.9988000000000001"/>
  </r>
  <r>
    <s v="CA-2016-114489"/>
    <d v="2016-12-05T00:00:00"/>
    <x v="3"/>
    <s v="Central"/>
    <s v="Franklin"/>
    <s v="Furniture"/>
    <x v="204"/>
    <x v="210"/>
    <n v="8"/>
    <n v="0"/>
    <n v="585.55200000000002"/>
  </r>
  <r>
    <s v="CA-2016-114489"/>
    <d v="2016-12-05T00:00:00"/>
    <x v="3"/>
    <s v="Central"/>
    <s v="Franklin"/>
    <s v="Office Supplies"/>
    <x v="205"/>
    <x v="211"/>
    <n v="5"/>
    <n v="0"/>
    <n v="80.628500000000003"/>
  </r>
  <r>
    <s v="CA-2016-115756"/>
    <d v="2016-09-05T00:00:00"/>
    <x v="0"/>
    <s v="Central"/>
    <s v="Detroit"/>
    <s v="Furniture"/>
    <x v="206"/>
    <x v="212"/>
    <n v="1"/>
    <n v="0"/>
    <n v="3.6659999999999999"/>
  </r>
  <r>
    <s v="CA-2016-115756"/>
    <d v="2016-09-05T00:00:00"/>
    <x v="0"/>
    <s v="Central"/>
    <s v="Detroit"/>
    <s v="Office Supplies"/>
    <x v="207"/>
    <x v="213"/>
    <n v="3"/>
    <n v="0"/>
    <n v="23.392800000000001"/>
  </r>
  <r>
    <s v="CA-2016-115756"/>
    <d v="2016-09-05T00:00:00"/>
    <x v="0"/>
    <s v="Central"/>
    <s v="Detroit"/>
    <s v="Office Supplies"/>
    <x v="208"/>
    <x v="214"/>
    <n v="3"/>
    <n v="0"/>
    <n v="20.575500000000002"/>
  </r>
  <r>
    <s v="CA-2016-115756"/>
    <d v="2016-09-05T00:00:00"/>
    <x v="0"/>
    <s v="Central"/>
    <s v="Detroit"/>
    <s v="Office Supplies"/>
    <x v="209"/>
    <x v="215"/>
    <n v="4"/>
    <n v="0"/>
    <n v="42.025599999999997"/>
  </r>
  <r>
    <s v="CA-2016-115756"/>
    <d v="2016-09-05T00:00:00"/>
    <x v="0"/>
    <s v="Central"/>
    <s v="Detroit"/>
    <s v="Furniture"/>
    <x v="210"/>
    <x v="216"/>
    <n v="3"/>
    <n v="0"/>
    <n v="29.152799999999999"/>
  </r>
  <r>
    <s v="CA-2016-115756"/>
    <d v="2016-09-05T00:00:00"/>
    <x v="0"/>
    <s v="Central"/>
    <s v="Detroit"/>
    <s v="Office Supplies"/>
    <x v="211"/>
    <x v="217"/>
    <n v="7"/>
    <n v="0"/>
    <n v="10.584"/>
  </r>
  <r>
    <s v="CA-2016-117590"/>
    <d v="2016-12-08T00:00:00"/>
    <x v="3"/>
    <s v="Central"/>
    <s v="Richardson"/>
    <s v="Technology"/>
    <x v="212"/>
    <x v="218"/>
    <n v="7"/>
    <n v="0.2"/>
    <n v="123.47369999999999"/>
  </r>
  <r>
    <s v="CA-2016-117590"/>
    <d v="2016-12-08T00:00:00"/>
    <x v="3"/>
    <s v="Central"/>
    <s v="Richardson"/>
    <s v="Furniture"/>
    <x v="213"/>
    <x v="219"/>
    <n v="5"/>
    <n v="0.6"/>
    <n v="-147.96299999999999"/>
  </r>
  <r>
    <s v="CA-2016-118255"/>
    <d v="2016-03-11T00:00:00"/>
    <x v="1"/>
    <s v="Central"/>
    <s v="Eagan"/>
    <s v="Technology"/>
    <x v="214"/>
    <x v="220"/>
    <n v="2"/>
    <n v="0"/>
    <n v="19.7714"/>
  </r>
  <r>
    <s v="CA-2016-118255"/>
    <d v="2016-03-11T00:00:00"/>
    <x v="1"/>
    <s v="Central"/>
    <s v="Eagan"/>
    <s v="Office Supplies"/>
    <x v="215"/>
    <x v="221"/>
    <n v="2"/>
    <n v="0"/>
    <n v="8.2062000000000008"/>
  </r>
  <r>
    <s v="CA-2016-119823"/>
    <d v="2016-06-04T00:00:00"/>
    <x v="5"/>
    <s v="South"/>
    <s v="Springfield"/>
    <s v="Office Supplies"/>
    <x v="216"/>
    <x v="222"/>
    <n v="2"/>
    <n v="0"/>
    <n v="35.663600000000002"/>
  </r>
  <r>
    <s v="CA-2016-121755"/>
    <d v="2016-01-16T00:00:00"/>
    <x v="11"/>
    <s v="West"/>
    <s v="Los Angeles"/>
    <s v="Office Supplies"/>
    <x v="217"/>
    <x v="223"/>
    <n v="2"/>
    <n v="0.2"/>
    <n v="4.2224000000000004"/>
  </r>
  <r>
    <s v="CA-2016-121755"/>
    <d v="2016-01-16T00:00:00"/>
    <x v="11"/>
    <s v="West"/>
    <s v="Los Angeles"/>
    <s v="Technology"/>
    <x v="218"/>
    <x v="224"/>
    <n v="3"/>
    <n v="0"/>
    <n v="11.774100000000001"/>
  </r>
  <r>
    <s v="CA-2016-125318"/>
    <d v="2016-06-06T00:00:00"/>
    <x v="5"/>
    <s v="Central"/>
    <s v="Chicago"/>
    <s v="Technology"/>
    <x v="219"/>
    <x v="225"/>
    <n v="4"/>
    <n v="0.2"/>
    <n v="28.7196"/>
  </r>
  <r>
    <s v="CA-2016-126158"/>
    <d v="2016-07-25T00:00:00"/>
    <x v="8"/>
    <s v="West"/>
    <s v="Costa Mesa"/>
    <s v="Office Supplies"/>
    <x v="220"/>
    <x v="226"/>
    <n v="8"/>
    <n v="0.2"/>
    <n v="40.370399999999997"/>
  </r>
  <r>
    <s v="CA-2016-126158"/>
    <d v="2016-07-25T00:00:00"/>
    <x v="8"/>
    <s v="West"/>
    <s v="Costa Mesa"/>
    <s v="Furniture"/>
    <x v="221"/>
    <x v="227"/>
    <n v="4"/>
    <n v="0"/>
    <n v="81.843199999999996"/>
  </r>
  <r>
    <s v="CA-2016-126158"/>
    <d v="2016-07-25T00:00:00"/>
    <x v="8"/>
    <s v="West"/>
    <s v="Costa Mesa"/>
    <s v="Furniture"/>
    <x v="80"/>
    <x v="228"/>
    <n v="2"/>
    <n v="0.2"/>
    <n v="18.117599999999999"/>
  </r>
  <r>
    <s v="CA-2016-126158"/>
    <d v="2016-07-25T00:00:00"/>
    <x v="8"/>
    <s v="West"/>
    <s v="Costa Mesa"/>
    <s v="Furniture"/>
    <x v="222"/>
    <x v="229"/>
    <n v="9"/>
    <n v="0"/>
    <n v="22.869"/>
  </r>
  <r>
    <s v="CA-2016-127208"/>
    <d v="2016-06-12T00:00:00"/>
    <x v="5"/>
    <s v="South"/>
    <s v="Decatur"/>
    <s v="Office Supplies"/>
    <x v="223"/>
    <x v="230"/>
    <n v="1"/>
    <n v="0"/>
    <n v="56.203200000000002"/>
  </r>
  <r>
    <s v="CA-2016-127208"/>
    <d v="2016-06-12T00:00:00"/>
    <x v="5"/>
    <s v="South"/>
    <s v="Decatur"/>
    <s v="Office Supplies"/>
    <x v="224"/>
    <x v="231"/>
    <n v="3"/>
    <n v="0"/>
    <n v="8.0351999999999997"/>
  </r>
  <r>
    <s v="CA-2016-127369"/>
    <d v="2016-06-06T00:00:00"/>
    <x v="5"/>
    <s v="East"/>
    <s v="Lowell"/>
    <s v="Office Supplies"/>
    <x v="225"/>
    <x v="232"/>
    <n v="5"/>
    <n v="0"/>
    <n v="207.14699999999999"/>
  </r>
  <r>
    <s v="CA-2016-128867"/>
    <d v="2016-11-03T00:00:00"/>
    <x v="2"/>
    <s v="Central"/>
    <s v="Urbandale"/>
    <s v="Office Supplies"/>
    <x v="226"/>
    <x v="233"/>
    <n v="2"/>
    <n v="0"/>
    <n v="22.788"/>
  </r>
  <r>
    <s v="CA-2016-128867"/>
    <d v="2016-11-03T00:00:00"/>
    <x v="2"/>
    <s v="Central"/>
    <s v="Urbandale"/>
    <s v="Office Supplies"/>
    <x v="227"/>
    <x v="234"/>
    <n v="6"/>
    <n v="0"/>
    <n v="13.3476"/>
  </r>
  <r>
    <s v="CA-2016-129714"/>
    <d v="2016-09-01T00:00:00"/>
    <x v="0"/>
    <s v="East"/>
    <s v="New York City"/>
    <s v="Technology"/>
    <x v="228"/>
    <x v="235"/>
    <n v="1"/>
    <n v="0"/>
    <n v="2.3086000000000002"/>
  </r>
  <r>
    <s v="CA-2016-129714"/>
    <d v="2016-09-01T00:00:00"/>
    <x v="0"/>
    <s v="East"/>
    <s v="New York City"/>
    <s v="Office Supplies"/>
    <x v="229"/>
    <x v="236"/>
    <n v="2"/>
    <n v="0"/>
    <n v="11.543200000000001"/>
  </r>
  <r>
    <s v="CA-2016-129714"/>
    <d v="2016-09-01T00:00:00"/>
    <x v="0"/>
    <s v="East"/>
    <s v="New York City"/>
    <s v="Office Supplies"/>
    <x v="230"/>
    <x v="237"/>
    <n v="1"/>
    <n v="0.2"/>
    <n v="1.0668"/>
  </r>
  <r>
    <s v="CA-2016-129714"/>
    <d v="2016-09-01T00:00:00"/>
    <x v="0"/>
    <s v="East"/>
    <s v="New York City"/>
    <s v="Office Supplies"/>
    <x v="229"/>
    <x v="238"/>
    <n v="4"/>
    <n v="0"/>
    <n v="23.086400000000001"/>
  </r>
  <r>
    <s v="CA-2016-129714"/>
    <d v="2016-09-01T00:00:00"/>
    <x v="0"/>
    <s v="East"/>
    <s v="New York City"/>
    <s v="Office Supplies"/>
    <x v="231"/>
    <x v="239"/>
    <n v="4"/>
    <n v="0.2"/>
    <n v="1415.4295999999999"/>
  </r>
  <r>
    <s v="CA-2016-129903"/>
    <d v="2016-12-01T00:00:00"/>
    <x v="3"/>
    <s v="Central"/>
    <s v="Rochester"/>
    <s v="Office Supplies"/>
    <x v="232"/>
    <x v="240"/>
    <n v="4"/>
    <n v="0"/>
    <n v="11.720800000000001"/>
  </r>
  <r>
    <s v="CA-2016-130001"/>
    <d v="2016-04-23T00:00:00"/>
    <x v="7"/>
    <s v="South"/>
    <s v="Charlotte"/>
    <s v="Office Supplies"/>
    <x v="233"/>
    <x v="241"/>
    <n v="5"/>
    <n v="0.2"/>
    <n v="11.324999999999999"/>
  </r>
  <r>
    <s v="CA-2016-130162"/>
    <d v="2016-10-28T00:00:00"/>
    <x v="4"/>
    <s v="West"/>
    <s v="Los Angeles"/>
    <s v="Office Supplies"/>
    <x v="234"/>
    <x v="242"/>
    <n v="6"/>
    <n v="0"/>
    <n v="26.056799999999999"/>
  </r>
  <r>
    <s v="CA-2016-130162"/>
    <d v="2016-10-28T00:00:00"/>
    <x v="4"/>
    <s v="West"/>
    <s v="Los Angeles"/>
    <s v="Technology"/>
    <x v="235"/>
    <x v="243"/>
    <n v="3"/>
    <n v="0.2"/>
    <n v="22.6782"/>
  </r>
  <r>
    <s v="CA-2016-134775"/>
    <d v="2016-10-28T00:00:00"/>
    <x v="4"/>
    <s v="West"/>
    <s v="San Francisco"/>
    <s v="Office Supplies"/>
    <x v="236"/>
    <x v="244"/>
    <n v="7"/>
    <n v="0"/>
    <n v="25.48"/>
  </r>
  <r>
    <s v="CA-2016-134775"/>
    <d v="2016-10-28T00:00:00"/>
    <x v="4"/>
    <s v="West"/>
    <s v="San Francisco"/>
    <s v="Office Supplies"/>
    <x v="237"/>
    <x v="245"/>
    <n v="3"/>
    <n v="0.2"/>
    <n v="17.337599999999998"/>
  </r>
  <r>
    <s v="CA-2016-137330"/>
    <d v="2016-12-09T00:00:00"/>
    <x v="3"/>
    <s v="Central"/>
    <s v="Fremont"/>
    <s v="Office Supplies"/>
    <x v="238"/>
    <x v="246"/>
    <n v="7"/>
    <n v="0"/>
    <n v="5.0595999999999997"/>
  </r>
  <r>
    <s v="CA-2016-137330"/>
    <d v="2016-12-09T00:00:00"/>
    <x v="3"/>
    <s v="Central"/>
    <s v="Fremont"/>
    <s v="Office Supplies"/>
    <x v="239"/>
    <x v="247"/>
    <n v="7"/>
    <n v="0"/>
    <n v="15.6884"/>
  </r>
  <r>
    <s v="CA-2016-138520"/>
    <d v="2016-04-08T00:00:00"/>
    <x v="7"/>
    <s v="East"/>
    <s v="New York City"/>
    <s v="Furniture"/>
    <x v="240"/>
    <x v="248"/>
    <n v="6"/>
    <n v="0.2"/>
    <n v="-4.8587999999999996"/>
  </r>
  <r>
    <s v="CA-2016-138520"/>
    <d v="2016-04-08T00:00:00"/>
    <x v="7"/>
    <s v="East"/>
    <s v="New York City"/>
    <s v="Office Supplies"/>
    <x v="241"/>
    <x v="249"/>
    <n v="2"/>
    <n v="0"/>
    <n v="3.7995999999999999"/>
  </r>
  <r>
    <s v="CA-2016-138520"/>
    <d v="2016-04-08T00:00:00"/>
    <x v="7"/>
    <s v="East"/>
    <s v="New York City"/>
    <s v="Office Supplies"/>
    <x v="242"/>
    <x v="250"/>
    <n v="4"/>
    <n v="0"/>
    <n v="6.9863999999999997"/>
  </r>
  <r>
    <s v="CA-2016-138520"/>
    <d v="2016-04-08T00:00:00"/>
    <x v="7"/>
    <s v="East"/>
    <s v="New York City"/>
    <s v="Office Supplies"/>
    <x v="243"/>
    <x v="251"/>
    <n v="5"/>
    <n v="0"/>
    <n v="15.824"/>
  </r>
  <r>
    <s v="CA-2016-138688"/>
    <d v="2016-06-12T00:00:00"/>
    <x v="5"/>
    <s v="West"/>
    <s v="Los Angeles"/>
    <s v="Office Supplies"/>
    <x v="244"/>
    <x v="206"/>
    <n v="2"/>
    <n v="0"/>
    <n v="6.8714000000000004"/>
  </r>
  <r>
    <s v="CA-2016-142545"/>
    <d v="2016-10-28T00:00:00"/>
    <x v="4"/>
    <s v="East"/>
    <s v="Belleville"/>
    <s v="Office Supplies"/>
    <x v="245"/>
    <x v="196"/>
    <n v="5"/>
    <n v="0"/>
    <n v="15.552"/>
  </r>
  <r>
    <s v="CA-2016-142545"/>
    <d v="2016-10-28T00:00:00"/>
    <x v="4"/>
    <s v="East"/>
    <s v="Belleville"/>
    <s v="Office Supplies"/>
    <x v="246"/>
    <x v="252"/>
    <n v="8"/>
    <n v="0"/>
    <n v="10.8248"/>
  </r>
  <r>
    <s v="CA-2016-142545"/>
    <d v="2016-10-28T00:00:00"/>
    <x v="4"/>
    <s v="East"/>
    <s v="Belleville"/>
    <s v="Office Supplies"/>
    <x v="247"/>
    <x v="253"/>
    <n v="3"/>
    <n v="0"/>
    <n v="27.316800000000001"/>
  </r>
  <r>
    <s v="CA-2016-142545"/>
    <d v="2016-10-28T00:00:00"/>
    <x v="4"/>
    <s v="East"/>
    <s v="Belleville"/>
    <s v="Furniture"/>
    <x v="248"/>
    <x v="254"/>
    <n v="4"/>
    <n v="0"/>
    <n v="38.024000000000001"/>
  </r>
  <r>
    <s v="CA-2016-142545"/>
    <d v="2016-10-28T00:00:00"/>
    <x v="4"/>
    <s v="East"/>
    <s v="Belleville"/>
    <s v="Office Supplies"/>
    <x v="249"/>
    <x v="130"/>
    <n v="1"/>
    <n v="0"/>
    <n v="6.5688000000000004"/>
  </r>
  <r>
    <s v="CA-2016-142902"/>
    <d v="2016-09-12T00:00:00"/>
    <x v="0"/>
    <s v="West"/>
    <s v="Arvada"/>
    <s v="Furniture"/>
    <x v="250"/>
    <x v="255"/>
    <n v="4"/>
    <n v="0.2"/>
    <n v="3.5948000000000002"/>
  </r>
  <r>
    <s v="CA-2016-142902"/>
    <d v="2016-09-12T00:00:00"/>
    <x v="0"/>
    <s v="West"/>
    <s v="Arvada"/>
    <s v="Furniture"/>
    <x v="251"/>
    <x v="256"/>
    <n v="2"/>
    <n v="0.2"/>
    <n v="52.511400000000002"/>
  </r>
  <r>
    <s v="CA-2016-142902"/>
    <d v="2016-09-12T00:00:00"/>
    <x v="0"/>
    <s v="West"/>
    <s v="Arvada"/>
    <s v="Furniture"/>
    <x v="252"/>
    <x v="257"/>
    <n v="1"/>
    <n v="0.2"/>
    <n v="1.7136"/>
  </r>
  <r>
    <s v="CA-2016-142902"/>
    <d v="2016-09-12T00:00:00"/>
    <x v="0"/>
    <s v="West"/>
    <s v="Arvada"/>
    <s v="Office Supplies"/>
    <x v="253"/>
    <x v="258"/>
    <n v="3"/>
    <n v="0.2"/>
    <n v="2.0358000000000001"/>
  </r>
  <r>
    <s v="CA-2016-145583"/>
    <d v="2016-10-13T00:00:00"/>
    <x v="4"/>
    <s v="West"/>
    <s v="Roseville"/>
    <s v="Office Supplies"/>
    <x v="254"/>
    <x v="259"/>
    <n v="3"/>
    <n v="0"/>
    <n v="9.6191999999999993"/>
  </r>
  <r>
    <s v="CA-2016-145583"/>
    <d v="2016-10-13T00:00:00"/>
    <x v="4"/>
    <s v="West"/>
    <s v="Roseville"/>
    <s v="Office Supplies"/>
    <x v="255"/>
    <x v="260"/>
    <n v="1"/>
    <n v="0"/>
    <n v="16.6568"/>
  </r>
  <r>
    <s v="CA-2016-145583"/>
    <d v="2016-10-13T00:00:00"/>
    <x v="4"/>
    <s v="West"/>
    <s v="Roseville"/>
    <s v="Office Supplies"/>
    <x v="256"/>
    <x v="261"/>
    <n v="4"/>
    <n v="0"/>
    <n v="3.456"/>
  </r>
  <r>
    <s v="CA-2016-145583"/>
    <d v="2016-10-13T00:00:00"/>
    <x v="4"/>
    <s v="West"/>
    <s v="Roseville"/>
    <s v="Office Supplies"/>
    <x v="257"/>
    <x v="262"/>
    <n v="2"/>
    <n v="0"/>
    <n v="1.9698"/>
  </r>
  <r>
    <s v="CA-2016-145583"/>
    <d v="2016-10-13T00:00:00"/>
    <x v="4"/>
    <s v="West"/>
    <s v="Roseville"/>
    <s v="Office Supplies"/>
    <x v="258"/>
    <x v="263"/>
    <n v="3"/>
    <n v="0.2"/>
    <n v="26.6616"/>
  </r>
  <r>
    <s v="CA-2016-145583"/>
    <d v="2016-10-13T00:00:00"/>
    <x v="4"/>
    <s v="West"/>
    <s v="Roseville"/>
    <s v="Office Supplies"/>
    <x v="259"/>
    <x v="264"/>
    <n v="6"/>
    <n v="0"/>
    <n v="18.446400000000001"/>
  </r>
  <r>
    <s v="CA-2016-145583"/>
    <d v="2016-10-13T00:00:00"/>
    <x v="4"/>
    <s v="West"/>
    <s v="Roseville"/>
    <s v="Furniture"/>
    <x v="103"/>
    <x v="265"/>
    <n v="14"/>
    <n v="0"/>
    <n v="20.697600000000001"/>
  </r>
  <r>
    <s v="CA-2016-145625"/>
    <d v="2016-09-11T00:00:00"/>
    <x v="0"/>
    <s v="West"/>
    <s v="San Diego"/>
    <s v="Office Supplies"/>
    <x v="260"/>
    <x v="266"/>
    <n v="1"/>
    <n v="0"/>
    <n v="3.5767000000000002"/>
  </r>
  <r>
    <s v="CA-2016-145625"/>
    <d v="2016-09-11T00:00:00"/>
    <x v="0"/>
    <s v="West"/>
    <s v="San Diego"/>
    <s v="Technology"/>
    <x v="261"/>
    <x v="267"/>
    <n v="13"/>
    <n v="0"/>
    <n v="636.00030000000004"/>
  </r>
  <r>
    <s v="CA-2016-146941"/>
    <d v="2016-12-10T00:00:00"/>
    <x v="3"/>
    <s v="East"/>
    <s v="New York City"/>
    <s v="Office Supplies"/>
    <x v="262"/>
    <x v="268"/>
    <n v="6"/>
    <n v="0"/>
    <n v="22.5624"/>
  </r>
  <r>
    <s v="CA-2016-146941"/>
    <d v="2016-12-10T00:00:00"/>
    <x v="3"/>
    <s v="East"/>
    <s v="New York City"/>
    <s v="Office Supplies"/>
    <x v="263"/>
    <x v="269"/>
    <n v="4"/>
    <n v="0"/>
    <n v="162.864"/>
  </r>
  <r>
    <s v="CA-2016-147375"/>
    <d v="2016-06-12T00:00:00"/>
    <x v="5"/>
    <s v="Central"/>
    <s v="Chicago"/>
    <s v="Technology"/>
    <x v="264"/>
    <x v="270"/>
    <n v="3"/>
    <n v="0.3"/>
    <n v="43.199100000000001"/>
  </r>
  <r>
    <s v="CA-2016-147375"/>
    <d v="2016-06-12T00:00:00"/>
    <x v="5"/>
    <s v="Central"/>
    <s v="Chicago"/>
    <s v="Office Supplies"/>
    <x v="265"/>
    <x v="271"/>
    <n v="7"/>
    <n v="0.2"/>
    <n v="113.63939999999999"/>
  </r>
  <r>
    <s v="CA-2016-148796"/>
    <d v="2016-04-14T00:00:00"/>
    <x v="7"/>
    <s v="West"/>
    <s v="Los Angeles"/>
    <s v="Furniture"/>
    <x v="266"/>
    <x v="272"/>
    <n v="5"/>
    <n v="0.2"/>
    <n v="38.380000000000003"/>
  </r>
  <r>
    <s v="CA-2016-149223"/>
    <d v="2016-09-06T00:00:00"/>
    <x v="0"/>
    <s v="Central"/>
    <s v="Saint Paul"/>
    <s v="Office Supplies"/>
    <x v="267"/>
    <x v="167"/>
    <n v="6"/>
    <n v="0"/>
    <n v="22.5852"/>
  </r>
  <r>
    <s v="CA-2016-152156"/>
    <d v="2016-11-08T00:00:00"/>
    <x v="2"/>
    <s v="South"/>
    <s v="Henderson"/>
    <s v="Furniture"/>
    <x v="268"/>
    <x v="273"/>
    <n v="2"/>
    <n v="0"/>
    <n v="41.913600000000002"/>
  </r>
  <r>
    <s v="CA-2016-152156"/>
    <d v="2016-11-08T00:00:00"/>
    <x v="2"/>
    <s v="South"/>
    <s v="Henderson"/>
    <s v="Furniture"/>
    <x v="204"/>
    <x v="274"/>
    <n v="3"/>
    <n v="0"/>
    <n v="219.58199999999999"/>
  </r>
  <r>
    <s v="CA-2016-152632"/>
    <d v="2016-10-27T00:00:00"/>
    <x v="4"/>
    <s v="East"/>
    <s v="Troy"/>
    <s v="Furniture"/>
    <x v="136"/>
    <x v="275"/>
    <n v="3"/>
    <n v="0"/>
    <n v="19.295999999999999"/>
  </r>
  <r>
    <s v="CA-2016-154508"/>
    <d v="2016-11-16T00:00:00"/>
    <x v="2"/>
    <s v="West"/>
    <s v="Carlsbad"/>
    <s v="Office Supplies"/>
    <x v="269"/>
    <x v="276"/>
    <n v="5"/>
    <n v="0"/>
    <n v="13.348000000000001"/>
  </r>
  <r>
    <s v="CA-2016-154739"/>
    <d v="2016-12-10T00:00:00"/>
    <x v="3"/>
    <s v="West"/>
    <s v="San Francisco"/>
    <s v="Furniture"/>
    <x v="270"/>
    <x v="277"/>
    <n v="2"/>
    <n v="0.2"/>
    <n v="28.1372"/>
  </r>
  <r>
    <s v="CA-2016-155516"/>
    <d v="2016-10-21T00:00:00"/>
    <x v="4"/>
    <s v="East"/>
    <s v="Manchester"/>
    <s v="Office Supplies"/>
    <x v="271"/>
    <x v="278"/>
    <n v="4"/>
    <n v="0"/>
    <n v="10.44"/>
  </r>
  <r>
    <s v="CA-2016-155516"/>
    <d v="2016-10-21T00:00:00"/>
    <x v="4"/>
    <s v="East"/>
    <s v="Manchester"/>
    <s v="Office Supplies"/>
    <x v="272"/>
    <x v="279"/>
    <n v="2"/>
    <n v="0"/>
    <n v="0.1472"/>
  </r>
  <r>
    <s v="CA-2016-155516"/>
    <d v="2016-10-21T00:00:00"/>
    <x v="4"/>
    <s v="East"/>
    <s v="Manchester"/>
    <s v="Office Supplies"/>
    <x v="273"/>
    <x v="280"/>
    <n v="7"/>
    <n v="0"/>
    <n v="29.341200000000001"/>
  </r>
  <r>
    <s v="CA-2016-155516"/>
    <d v="2016-10-21T00:00:00"/>
    <x v="4"/>
    <s v="East"/>
    <s v="Manchester"/>
    <s v="Furniture"/>
    <x v="93"/>
    <x v="281"/>
    <n v="4"/>
    <n v="0"/>
    <n v="271.41919999999999"/>
  </r>
  <r>
    <s v="CA-2016-157000"/>
    <d v="2016-07-16T00:00:00"/>
    <x v="8"/>
    <s v="Central"/>
    <s v="Grand Prairie"/>
    <s v="Office Supplies"/>
    <x v="234"/>
    <x v="282"/>
    <n v="3"/>
    <n v="0.2"/>
    <n v="3.7223999999999999"/>
  </r>
  <r>
    <s v="CA-2016-157000"/>
    <d v="2016-07-16T00:00:00"/>
    <x v="8"/>
    <s v="Central"/>
    <s v="Grand Prairie"/>
    <s v="Office Supplies"/>
    <x v="113"/>
    <x v="283"/>
    <n v="3"/>
    <n v="0.2"/>
    <n v="6.2549999999999999"/>
  </r>
  <r>
    <s v="CA-2016-157749"/>
    <d v="2016-06-04T00:00:00"/>
    <x v="5"/>
    <s v="Central"/>
    <s v="Chicago"/>
    <s v="Office Supplies"/>
    <x v="274"/>
    <x v="47"/>
    <n v="5"/>
    <n v="0.2"/>
    <n v="9.3960000000000008"/>
  </r>
  <r>
    <s v="CA-2016-157749"/>
    <d v="2016-06-04T00:00:00"/>
    <x v="5"/>
    <s v="Central"/>
    <s v="Chicago"/>
    <s v="Furniture"/>
    <x v="275"/>
    <x v="284"/>
    <n v="5"/>
    <n v="0.6"/>
    <n v="-356.72800000000001"/>
  </r>
  <r>
    <s v="CA-2016-157749"/>
    <d v="2016-06-04T00:00:00"/>
    <x v="5"/>
    <s v="Central"/>
    <s v="Chicago"/>
    <s v="Furniture"/>
    <x v="276"/>
    <x v="285"/>
    <n v="3"/>
    <n v="0.6"/>
    <n v="-4.6752000000000002"/>
  </r>
  <r>
    <s v="CA-2016-157749"/>
    <d v="2016-06-04T00:00:00"/>
    <x v="5"/>
    <s v="Central"/>
    <s v="Chicago"/>
    <s v="Technology"/>
    <x v="277"/>
    <x v="286"/>
    <n v="2"/>
    <n v="0.2"/>
    <n v="11.1944"/>
  </r>
  <r>
    <s v="CA-2016-157749"/>
    <d v="2016-06-04T00:00:00"/>
    <x v="5"/>
    <s v="Central"/>
    <s v="Chicago"/>
    <s v="Furniture"/>
    <x v="278"/>
    <x v="287"/>
    <n v="5"/>
    <n v="0.5"/>
    <n v="-120.51300000000001"/>
  </r>
  <r>
    <s v="CA-2016-157749"/>
    <d v="2016-06-04T00:00:00"/>
    <x v="5"/>
    <s v="Central"/>
    <s v="Chicago"/>
    <s v="Furniture"/>
    <x v="279"/>
    <x v="288"/>
    <n v="3"/>
    <n v="0.6"/>
    <n v="-2.8308"/>
  </r>
  <r>
    <s v="CA-2016-157749"/>
    <d v="2016-06-04T00:00:00"/>
    <x v="5"/>
    <s v="Central"/>
    <s v="Chicago"/>
    <s v="Office Supplies"/>
    <x v="61"/>
    <x v="63"/>
    <n v="2"/>
    <n v="0.2"/>
    <n v="1.2038"/>
  </r>
  <r>
    <s v="CA-2016-158568"/>
    <d v="2016-08-29T00:00:00"/>
    <x v="6"/>
    <s v="Central"/>
    <s v="Chicago"/>
    <s v="Office Supplies"/>
    <x v="280"/>
    <x v="289"/>
    <n v="7"/>
    <n v="0.2"/>
    <n v="22.618400000000001"/>
  </r>
  <r>
    <s v="CA-2016-158568"/>
    <d v="2016-08-29T00:00:00"/>
    <x v="6"/>
    <s v="Central"/>
    <s v="Chicago"/>
    <s v="Technology"/>
    <x v="281"/>
    <x v="290"/>
    <n v="3"/>
    <n v="0.2"/>
    <n v="-10.7973"/>
  </r>
  <r>
    <s v="CA-2016-158568"/>
    <d v="2016-08-29T00:00:00"/>
    <x v="6"/>
    <s v="Central"/>
    <s v="Chicago"/>
    <s v="Office Supplies"/>
    <x v="282"/>
    <x v="291"/>
    <n v="3"/>
    <n v="0.8"/>
    <n v="-3.0396000000000001"/>
  </r>
  <r>
    <s v="CA-2016-158834"/>
    <d v="2016-03-13T00:00:00"/>
    <x v="1"/>
    <s v="West"/>
    <s v="Scottsdale"/>
    <s v="Office Supplies"/>
    <x v="283"/>
    <x v="292"/>
    <n v="5"/>
    <n v="0.2"/>
    <n v="17.765999999999998"/>
  </r>
  <r>
    <s v="CA-2016-158834"/>
    <d v="2016-03-13T00:00:00"/>
    <x v="1"/>
    <s v="West"/>
    <s v="Scottsdale"/>
    <s v="Technology"/>
    <x v="284"/>
    <x v="293"/>
    <n v="2"/>
    <n v="0.2"/>
    <n v="15.238799999999999"/>
  </r>
  <r>
    <s v="CA-2016-159695"/>
    <d v="2016-04-05T00:00:00"/>
    <x v="7"/>
    <s v="Central"/>
    <s v="Houston"/>
    <s v="Office Supplies"/>
    <x v="285"/>
    <x v="294"/>
    <n v="7"/>
    <n v="0.2"/>
    <n v="13.857200000000001"/>
  </r>
  <r>
    <s v="CA-2016-161389"/>
    <d v="2016-12-05T00:00:00"/>
    <x v="3"/>
    <s v="West"/>
    <s v="Seattle"/>
    <s v="Office Supplies"/>
    <x v="33"/>
    <x v="295"/>
    <n v="3"/>
    <n v="0.2"/>
    <n v="132.59219999999999"/>
  </r>
  <r>
    <s v="CA-2016-162138"/>
    <d v="2016-04-23T00:00:00"/>
    <x v="7"/>
    <s v="West"/>
    <s v="Hesperia"/>
    <s v="Office Supplies"/>
    <x v="11"/>
    <x v="296"/>
    <n v="6"/>
    <n v="0.2"/>
    <n v="81.744"/>
  </r>
  <r>
    <s v="CA-2016-162138"/>
    <d v="2016-04-23T00:00:00"/>
    <x v="7"/>
    <s v="West"/>
    <s v="Hesperia"/>
    <s v="Technology"/>
    <x v="286"/>
    <x v="297"/>
    <n v="1"/>
    <n v="0"/>
    <n v="34.996499999999997"/>
  </r>
  <r>
    <s v="CA-2016-162733"/>
    <d v="2016-05-11T00:00:00"/>
    <x v="9"/>
    <s v="West"/>
    <s v="Los Angeles"/>
    <s v="Office Supplies"/>
    <x v="287"/>
    <x v="298"/>
    <n v="1"/>
    <n v="0"/>
    <n v="2.6909999999999998"/>
  </r>
  <r>
    <s v="CA-2016-166674"/>
    <d v="2016-04-01T00:00:00"/>
    <x v="7"/>
    <s v="East"/>
    <s v="Auburn"/>
    <s v="Office Supplies"/>
    <x v="288"/>
    <x v="299"/>
    <n v="3"/>
    <n v="0"/>
    <n v="15.475199999999999"/>
  </r>
  <r>
    <s v="CA-2016-166674"/>
    <d v="2016-04-01T00:00:00"/>
    <x v="7"/>
    <s v="East"/>
    <s v="Auburn"/>
    <s v="Office Supplies"/>
    <x v="289"/>
    <x v="300"/>
    <n v="3"/>
    <n v="0"/>
    <n v="9.7164000000000001"/>
  </r>
  <r>
    <s v="CA-2016-166674"/>
    <d v="2016-04-01T00:00:00"/>
    <x v="7"/>
    <s v="East"/>
    <s v="Auburn"/>
    <s v="Office Supplies"/>
    <x v="51"/>
    <x v="301"/>
    <n v="6"/>
    <n v="0"/>
    <n v="71.247600000000006"/>
  </r>
  <r>
    <s v="CA-2016-166674"/>
    <d v="2016-04-01T00:00:00"/>
    <x v="7"/>
    <s v="East"/>
    <s v="Auburn"/>
    <s v="Office Supplies"/>
    <x v="290"/>
    <x v="302"/>
    <n v="3"/>
    <n v="0"/>
    <n v="7.9248000000000003"/>
  </r>
  <r>
    <s v="CA-2016-166674"/>
    <d v="2016-04-01T00:00:00"/>
    <x v="7"/>
    <s v="East"/>
    <s v="Auburn"/>
    <s v="Office Supplies"/>
    <x v="291"/>
    <x v="42"/>
    <n v="3"/>
    <n v="0"/>
    <n v="2.8536000000000001"/>
  </r>
  <r>
    <s v="CA-2016-166674"/>
    <d v="2016-04-01T00:00:00"/>
    <x v="7"/>
    <s v="East"/>
    <s v="Auburn"/>
    <s v="Technology"/>
    <x v="292"/>
    <x v="303"/>
    <n v="4"/>
    <n v="0"/>
    <n v="9.1311999999999998"/>
  </r>
  <r>
    <s v="CA-2016-169166"/>
    <d v="2016-05-09T00:00:00"/>
    <x v="9"/>
    <s v="West"/>
    <s v="Seattle"/>
    <s v="Technology"/>
    <x v="293"/>
    <x v="304"/>
    <n v="2"/>
    <n v="0"/>
    <n v="13.1572"/>
  </r>
  <r>
    <s v="CA-2016-169194"/>
    <d v="2016-06-20T00:00:00"/>
    <x v="5"/>
    <s v="East"/>
    <s v="Dover"/>
    <s v="Technology"/>
    <x v="193"/>
    <x v="305"/>
    <n v="3"/>
    <n v="0"/>
    <n v="4.95"/>
  </r>
  <r>
    <s v="CA-2016-169194"/>
    <d v="2016-06-20T00:00:00"/>
    <x v="5"/>
    <s v="East"/>
    <s v="Dover"/>
    <s v="Technology"/>
    <x v="294"/>
    <x v="306"/>
    <n v="2"/>
    <n v="0"/>
    <n v="6.1040000000000001"/>
  </r>
  <r>
    <s v="CA-2017-101798"/>
    <d v="2017-12-11T00:00:00"/>
    <x v="3"/>
    <s v="East"/>
    <s v="New York City"/>
    <s v="Office Supplies"/>
    <x v="295"/>
    <x v="307"/>
    <n v="4"/>
    <n v="0.2"/>
    <n v="7.8840000000000003"/>
  </r>
  <r>
    <s v="CA-2017-101798"/>
    <d v="2017-12-11T00:00:00"/>
    <x v="3"/>
    <s v="East"/>
    <s v="New York City"/>
    <s v="Technology"/>
    <x v="296"/>
    <x v="308"/>
    <n v="2"/>
    <n v="0"/>
    <n v="13.5932"/>
  </r>
  <r>
    <s v="CA-2017-102946"/>
    <d v="2017-06-30T00:00:00"/>
    <x v="5"/>
    <s v="West"/>
    <s v="Las Vegas"/>
    <s v="Office Supplies"/>
    <x v="297"/>
    <x v="309"/>
    <n v="3"/>
    <n v="0.2"/>
    <n v="25.579799999999999"/>
  </r>
  <r>
    <s v="CA-2017-104745"/>
    <d v="2017-05-29T00:00:00"/>
    <x v="9"/>
    <s v="Central"/>
    <s v="Harlingen"/>
    <s v="Office Supplies"/>
    <x v="298"/>
    <x v="47"/>
    <n v="5"/>
    <n v="0.2"/>
    <n v="9.3960000000000008"/>
  </r>
  <r>
    <s v="CA-2017-104745"/>
    <d v="2017-05-29T00:00:00"/>
    <x v="9"/>
    <s v="Central"/>
    <s v="Harlingen"/>
    <s v="Office Supplies"/>
    <x v="299"/>
    <x v="310"/>
    <n v="3"/>
    <n v="0.2"/>
    <n v="4.6745999999999999"/>
  </r>
  <r>
    <s v="CA-2017-105074"/>
    <d v="2017-06-24T00:00:00"/>
    <x v="5"/>
    <s v="East"/>
    <s v="Akron"/>
    <s v="Office Supplies"/>
    <x v="233"/>
    <x v="311"/>
    <n v="3"/>
    <n v="0.2"/>
    <n v="6.7949999999999999"/>
  </r>
  <r>
    <s v="CA-2017-106180"/>
    <d v="2017-09-18T00:00:00"/>
    <x v="0"/>
    <s v="West"/>
    <s v="San Francisco"/>
    <s v="Office Supplies"/>
    <x v="300"/>
    <x v="312"/>
    <n v="3"/>
    <n v="0"/>
    <n v="2.3814000000000002"/>
  </r>
  <r>
    <s v="CA-2017-106180"/>
    <d v="2017-09-18T00:00:00"/>
    <x v="0"/>
    <s v="West"/>
    <s v="San Francisco"/>
    <s v="Office Supplies"/>
    <x v="301"/>
    <x v="313"/>
    <n v="3"/>
    <n v="0"/>
    <n v="5.1041999999999996"/>
  </r>
  <r>
    <s v="CA-2017-106180"/>
    <d v="2017-09-18T00:00:00"/>
    <x v="0"/>
    <s v="West"/>
    <s v="San Francisco"/>
    <s v="Office Supplies"/>
    <x v="302"/>
    <x v="314"/>
    <n v="3"/>
    <n v="0"/>
    <n v="68.975999999999999"/>
  </r>
  <r>
    <s v="CA-2017-107720"/>
    <d v="2017-11-06T00:00:00"/>
    <x v="2"/>
    <s v="East"/>
    <s v="Westfield"/>
    <s v="Office Supplies"/>
    <x v="303"/>
    <x v="315"/>
    <n v="3"/>
    <n v="0"/>
    <n v="12.0276"/>
  </r>
  <r>
    <s v="CA-2017-107727"/>
    <d v="2017-10-19T00:00:00"/>
    <x v="4"/>
    <s v="Central"/>
    <s v="Houston"/>
    <s v="Office Supplies"/>
    <x v="122"/>
    <x v="316"/>
    <n v="3"/>
    <n v="0.2"/>
    <n v="9.9467999999999996"/>
  </r>
  <r>
    <s v="CA-2017-108329"/>
    <d v="2017-12-09T00:00:00"/>
    <x v="3"/>
    <s v="West"/>
    <s v="Whittier"/>
    <s v="Technology"/>
    <x v="304"/>
    <x v="317"/>
    <n v="4"/>
    <n v="0.2"/>
    <n v="44.476799999999997"/>
  </r>
  <r>
    <s v="CA-2017-110478"/>
    <d v="2017-03-04T00:00:00"/>
    <x v="1"/>
    <s v="West"/>
    <s v="Los Angeles"/>
    <s v="Office Supplies"/>
    <x v="305"/>
    <x v="318"/>
    <n v="4"/>
    <n v="0"/>
    <n v="2.7027999999999999"/>
  </r>
  <r>
    <s v="CA-2017-110478"/>
    <d v="2017-03-04T00:00:00"/>
    <x v="1"/>
    <s v="West"/>
    <s v="Los Angeles"/>
    <s v="Office Supplies"/>
    <x v="306"/>
    <x v="319"/>
    <n v="1"/>
    <n v="0"/>
    <n v="7.0149999999999997"/>
  </r>
  <r>
    <s v="CA-2017-114412"/>
    <d v="2017-04-15T00:00:00"/>
    <x v="7"/>
    <s v="South"/>
    <s v="Concord"/>
    <s v="Office Supplies"/>
    <x v="307"/>
    <x v="91"/>
    <n v="3"/>
    <n v="0.2"/>
    <n v="5.4432"/>
  </r>
  <r>
    <s v="CA-2017-114440"/>
    <d v="2017-09-14T00:00:00"/>
    <x v="0"/>
    <s v="Central"/>
    <s v="Jackson"/>
    <s v="Office Supplies"/>
    <x v="308"/>
    <x v="320"/>
    <n v="3"/>
    <n v="0"/>
    <n v="8.7629999999999999"/>
  </r>
  <r>
    <s v="CA-2017-117457"/>
    <d v="2017-12-08T00:00:00"/>
    <x v="3"/>
    <s v="West"/>
    <s v="San Francisco"/>
    <s v="Technology"/>
    <x v="175"/>
    <x v="321"/>
    <n v="5"/>
    <n v="0"/>
    <n v="37.789499999999997"/>
  </r>
  <r>
    <s v="CA-2017-117457"/>
    <d v="2017-12-08T00:00:00"/>
    <x v="3"/>
    <s v="West"/>
    <s v="San Francisco"/>
    <s v="Technology"/>
    <x v="309"/>
    <x v="322"/>
    <n v="3"/>
    <n v="0.2"/>
    <n v="434.99130000000002"/>
  </r>
  <r>
    <s v="CA-2017-117457"/>
    <d v="2017-12-08T00:00:00"/>
    <x v="3"/>
    <s v="West"/>
    <s v="San Francisco"/>
    <s v="Office Supplies"/>
    <x v="310"/>
    <x v="323"/>
    <n v="5"/>
    <n v="0"/>
    <n v="13.3035"/>
  </r>
  <r>
    <s v="CA-2017-117457"/>
    <d v="2017-12-08T00:00:00"/>
    <x v="3"/>
    <s v="West"/>
    <s v="San Francisco"/>
    <s v="Furniture"/>
    <x v="311"/>
    <x v="324"/>
    <n v="7"/>
    <n v="0.2"/>
    <n v="-112.95269999999999"/>
  </r>
  <r>
    <s v="CA-2017-117457"/>
    <d v="2017-12-08T00:00:00"/>
    <x v="3"/>
    <s v="West"/>
    <s v="San Francisco"/>
    <s v="Office Supplies"/>
    <x v="312"/>
    <x v="325"/>
    <n v="1"/>
    <n v="0"/>
    <n v="4.6463999999999999"/>
  </r>
  <r>
    <s v="CA-2017-117457"/>
    <d v="2017-12-08T00:00:00"/>
    <x v="3"/>
    <s v="West"/>
    <s v="San Francisco"/>
    <s v="Office Supplies"/>
    <x v="313"/>
    <x v="326"/>
    <n v="9"/>
    <n v="0"/>
    <n v="13.608000000000001"/>
  </r>
  <r>
    <s v="CA-2017-117457"/>
    <d v="2017-12-08T00:00:00"/>
    <x v="3"/>
    <s v="West"/>
    <s v="San Francisco"/>
    <s v="Office Supplies"/>
    <x v="265"/>
    <x v="327"/>
    <n v="1"/>
    <n v="0"/>
    <n v="27.430199999999999"/>
  </r>
  <r>
    <s v="CA-2017-117457"/>
    <d v="2017-12-08T00:00:00"/>
    <x v="3"/>
    <s v="West"/>
    <s v="San Francisco"/>
    <s v="Furniture"/>
    <x v="314"/>
    <x v="328"/>
    <n v="13"/>
    <n v="0.15"/>
    <n v="31.454799999999999"/>
  </r>
  <r>
    <s v="CA-2017-117457"/>
    <d v="2017-12-08T00:00:00"/>
    <x v="3"/>
    <s v="West"/>
    <s v="San Francisco"/>
    <s v="Furniture"/>
    <x v="315"/>
    <x v="329"/>
    <n v="2"/>
    <n v="0.2"/>
    <n v="-18.454799999999999"/>
  </r>
  <r>
    <s v="CA-2017-117933"/>
    <d v="2017-12-24T00:00:00"/>
    <x v="3"/>
    <s v="East"/>
    <s v="New York City"/>
    <s v="Office Supplies"/>
    <x v="316"/>
    <x v="330"/>
    <n v="3"/>
    <n v="0"/>
    <n v="9.6957000000000004"/>
  </r>
  <r>
    <s v="CA-2017-118136"/>
    <d v="2017-09-16T00:00:00"/>
    <x v="0"/>
    <s v="West"/>
    <s v="Inglewood"/>
    <s v="Office Supplies"/>
    <x v="317"/>
    <x v="312"/>
    <n v="2"/>
    <n v="0"/>
    <n v="4.0571999999999999"/>
  </r>
  <r>
    <s v="CA-2017-118136"/>
    <d v="2017-09-16T00:00:00"/>
    <x v="0"/>
    <s v="West"/>
    <s v="Inglewood"/>
    <s v="Office Supplies"/>
    <x v="318"/>
    <x v="298"/>
    <n v="1"/>
    <n v="0"/>
    <n v="1.5548"/>
  </r>
  <r>
    <s v="CA-2017-119004"/>
    <d v="2017-11-23T00:00:00"/>
    <x v="2"/>
    <s v="South"/>
    <s v="Charlotte"/>
    <s v="Technology"/>
    <x v="319"/>
    <x v="331"/>
    <n v="8"/>
    <n v="0.2"/>
    <n v="17.601600000000001"/>
  </r>
  <r>
    <s v="CA-2017-119004"/>
    <d v="2017-11-23T00:00:00"/>
    <x v="2"/>
    <s v="South"/>
    <s v="Charlotte"/>
    <s v="Technology"/>
    <x v="139"/>
    <x v="332"/>
    <n v="1"/>
    <n v="0.2"/>
    <n v="2.0994000000000002"/>
  </r>
  <r>
    <s v="CA-2017-119004"/>
    <d v="2017-11-23T00:00:00"/>
    <x v="2"/>
    <s v="South"/>
    <s v="Charlotte"/>
    <s v="Office Supplies"/>
    <x v="320"/>
    <x v="333"/>
    <n v="1"/>
    <n v="0.2"/>
    <n v="1.0738000000000001"/>
  </r>
  <r>
    <s v="CA-2017-120999"/>
    <d v="2017-09-10T00:00:00"/>
    <x v="0"/>
    <s v="Central"/>
    <s v="Naperville"/>
    <s v="Technology"/>
    <x v="82"/>
    <x v="334"/>
    <n v="4"/>
    <n v="0.2"/>
    <n v="16.5564"/>
  </r>
  <r>
    <s v="CA-2017-122105"/>
    <d v="2017-06-24T00:00:00"/>
    <x v="5"/>
    <s v="West"/>
    <s v="Huntington Beach"/>
    <s v="Office Supplies"/>
    <x v="321"/>
    <x v="335"/>
    <n v="8"/>
    <n v="0"/>
    <n v="25.898399999999999"/>
  </r>
  <r>
    <s v="CA-2017-125388"/>
    <d v="2017-10-19T00:00:00"/>
    <x v="4"/>
    <s v="East"/>
    <s v="Lawrence"/>
    <s v="Furniture"/>
    <x v="322"/>
    <x v="336"/>
    <n v="4"/>
    <n v="0"/>
    <n v="14.7056"/>
  </r>
  <r>
    <s v="CA-2017-125388"/>
    <d v="2017-10-19T00:00:00"/>
    <x v="4"/>
    <s v="East"/>
    <s v="Lawrence"/>
    <s v="Office Supplies"/>
    <x v="323"/>
    <x v="337"/>
    <n v="3"/>
    <n v="0"/>
    <n v="8.5020000000000007"/>
  </r>
  <r>
    <s v="CA-2017-126382"/>
    <d v="2017-06-03T00:00:00"/>
    <x v="5"/>
    <s v="South"/>
    <s v="Franklin"/>
    <s v="Furniture"/>
    <x v="324"/>
    <x v="338"/>
    <n v="7"/>
    <n v="0.2"/>
    <n v="9.6712000000000007"/>
  </r>
  <r>
    <s v="CA-2017-126774"/>
    <d v="2017-04-15T00:00:00"/>
    <x v="7"/>
    <s v="South"/>
    <s v="Arlington"/>
    <s v="Office Supplies"/>
    <x v="325"/>
    <x v="339"/>
    <n v="1"/>
    <n v="0"/>
    <n v="2.0049000000000001"/>
  </r>
  <r>
    <s v="CA-2017-130043"/>
    <d v="2017-09-15T00:00:00"/>
    <x v="0"/>
    <s v="Central"/>
    <s v="Houston"/>
    <s v="Office Supplies"/>
    <x v="326"/>
    <x v="340"/>
    <n v="8"/>
    <n v="0.2"/>
    <n v="11.553599999999999"/>
  </r>
  <r>
    <s v="CA-2017-132976"/>
    <d v="2017-10-13T00:00:00"/>
    <x v="4"/>
    <s v="East"/>
    <s v="Philadelphia"/>
    <s v="Office Supplies"/>
    <x v="327"/>
    <x v="223"/>
    <n v="2"/>
    <n v="0.2"/>
    <n v="4.0768000000000004"/>
  </r>
  <r>
    <s v="CA-2017-132976"/>
    <d v="2017-10-13T00:00:00"/>
    <x v="4"/>
    <s v="East"/>
    <s v="Philadelphia"/>
    <s v="Office Supplies"/>
    <x v="328"/>
    <x v="341"/>
    <n v="4"/>
    <n v="0.2"/>
    <n v="5.9071999999999996"/>
  </r>
  <r>
    <s v="CA-2017-132976"/>
    <d v="2017-10-13T00:00:00"/>
    <x v="4"/>
    <s v="East"/>
    <s v="Philadelphia"/>
    <s v="Office Supplies"/>
    <x v="329"/>
    <x v="342"/>
    <n v="6"/>
    <n v="0.2"/>
    <n v="5.9711999999999996"/>
  </r>
  <r>
    <s v="CA-2017-132976"/>
    <d v="2017-10-13T00:00:00"/>
    <x v="4"/>
    <s v="East"/>
    <s v="Philadelphia"/>
    <s v="Office Supplies"/>
    <x v="330"/>
    <x v="343"/>
    <n v="3"/>
    <n v="0.2"/>
    <n v="8.6940000000000008"/>
  </r>
  <r>
    <s v="CA-2017-134306"/>
    <d v="2017-07-08T00:00:00"/>
    <x v="8"/>
    <s v="East"/>
    <s v="Lowell"/>
    <s v="Office Supplies"/>
    <x v="62"/>
    <x v="194"/>
    <n v="3"/>
    <n v="0"/>
    <n v="3.0996000000000001"/>
  </r>
  <r>
    <s v="CA-2017-134306"/>
    <d v="2017-07-08T00:00:00"/>
    <x v="8"/>
    <s v="East"/>
    <s v="Lowell"/>
    <s v="Office Supplies"/>
    <x v="122"/>
    <x v="236"/>
    <n v="2"/>
    <n v="0"/>
    <n v="11.543200000000001"/>
  </r>
  <r>
    <s v="CA-2017-134306"/>
    <d v="2017-07-08T00:00:00"/>
    <x v="8"/>
    <s v="East"/>
    <s v="Lowell"/>
    <s v="Office Supplies"/>
    <x v="331"/>
    <x v="146"/>
    <n v="2"/>
    <n v="0"/>
    <n v="4.1471999999999998"/>
  </r>
  <r>
    <s v="CA-2017-135860"/>
    <d v="2017-12-01T00:00:00"/>
    <x v="3"/>
    <s v="Central"/>
    <s v="Saginaw"/>
    <s v="Office Supplies"/>
    <x v="332"/>
    <x v="344"/>
    <n v="4"/>
    <n v="0"/>
    <n v="5.8743999999999996"/>
  </r>
  <r>
    <s v="CA-2017-135860"/>
    <d v="2017-12-01T00:00:00"/>
    <x v="3"/>
    <s v="Central"/>
    <s v="Saginaw"/>
    <s v="Technology"/>
    <x v="333"/>
    <x v="345"/>
    <n v="2"/>
    <n v="0"/>
    <n v="35.634599999999999"/>
  </r>
  <r>
    <s v="CA-2017-135860"/>
    <d v="2017-12-01T00:00:00"/>
    <x v="3"/>
    <s v="Central"/>
    <s v="Saginaw"/>
    <s v="Office Supplies"/>
    <x v="334"/>
    <x v="346"/>
    <n v="4"/>
    <n v="0"/>
    <n v="7.4824000000000002"/>
  </r>
  <r>
    <s v="CA-2017-135860"/>
    <d v="2017-12-01T00:00:00"/>
    <x v="3"/>
    <s v="Central"/>
    <s v="Saginaw"/>
    <s v="Office Supplies"/>
    <x v="335"/>
    <x v="347"/>
    <n v="9"/>
    <n v="0"/>
    <n v="16.209900000000001"/>
  </r>
  <r>
    <s v="CA-2017-135860"/>
    <d v="2017-12-01T00:00:00"/>
    <x v="3"/>
    <s v="Central"/>
    <s v="Saginaw"/>
    <s v="Office Supplies"/>
    <x v="336"/>
    <x v="348"/>
    <n v="1"/>
    <n v="0"/>
    <n v="3.6796000000000002"/>
  </r>
  <r>
    <s v="CA-2017-136826"/>
    <d v="2017-06-16T00:00:00"/>
    <x v="5"/>
    <s v="South"/>
    <s v="Chapel Hill"/>
    <s v="Office Supplies"/>
    <x v="337"/>
    <x v="349"/>
    <n v="3"/>
    <n v="0.2"/>
    <n v="4.7304000000000004"/>
  </r>
  <r>
    <s v="CA-2017-139619"/>
    <d v="2017-09-19T00:00:00"/>
    <x v="0"/>
    <s v="South"/>
    <s v="Melbourne"/>
    <s v="Office Supplies"/>
    <x v="338"/>
    <x v="350"/>
    <n v="2"/>
    <n v="0.2"/>
    <n v="9.5616000000000003"/>
  </r>
  <r>
    <s v="CA-2017-140088"/>
    <d v="2017-05-28T00:00:00"/>
    <x v="9"/>
    <s v="South"/>
    <s v="Columbia"/>
    <s v="Furniture"/>
    <x v="339"/>
    <x v="351"/>
    <n v="2"/>
    <n v="0"/>
    <n v="33.215600000000002"/>
  </r>
  <r>
    <s v="CA-2017-140963"/>
    <d v="2017-06-10T00:00:00"/>
    <x v="5"/>
    <s v="West"/>
    <s v="Los Angeles"/>
    <s v="Office Supplies"/>
    <x v="340"/>
    <x v="352"/>
    <n v="2"/>
    <n v="0"/>
    <n v="14.8"/>
  </r>
  <r>
    <s v="CA-2017-140963"/>
    <d v="2017-06-10T00:00:00"/>
    <x v="5"/>
    <s v="West"/>
    <s v="Los Angeles"/>
    <s v="Furniture"/>
    <x v="341"/>
    <x v="353"/>
    <n v="5"/>
    <n v="0.15"/>
    <n v="-30.245000000000001"/>
  </r>
  <r>
    <s v="CA-2017-140963"/>
    <d v="2017-06-10T00:00:00"/>
    <x v="5"/>
    <s v="West"/>
    <s v="Los Angeles"/>
    <s v="Technology"/>
    <x v="342"/>
    <x v="354"/>
    <n v="5"/>
    <n v="0.2"/>
    <n v="17.497499999999999"/>
  </r>
  <r>
    <s v="CA-2017-142636"/>
    <d v="2017-11-03T00:00:00"/>
    <x v="2"/>
    <s v="West"/>
    <s v="Seattle"/>
    <s v="Office Supplies"/>
    <x v="343"/>
    <x v="355"/>
    <n v="7"/>
    <n v="0"/>
    <n v="65.734200000000001"/>
  </r>
  <r>
    <s v="CA-2017-142636"/>
    <d v="2017-11-03T00:00:00"/>
    <x v="2"/>
    <s v="West"/>
    <s v="Seattle"/>
    <s v="Furniture"/>
    <x v="9"/>
    <x v="356"/>
    <n v="4"/>
    <n v="0.2"/>
    <n v="26.874400000000001"/>
  </r>
  <r>
    <s v="CA-2017-144904"/>
    <d v="2017-09-25T00:00:00"/>
    <x v="0"/>
    <s v="East"/>
    <s v="New York City"/>
    <s v="Office Supplies"/>
    <x v="344"/>
    <x v="357"/>
    <n v="2"/>
    <n v="0"/>
    <n v="9.9359999999999999"/>
  </r>
  <r>
    <s v="CA-2017-144904"/>
    <d v="2017-09-25T00:00:00"/>
    <x v="0"/>
    <s v="East"/>
    <s v="New York City"/>
    <s v="Furniture"/>
    <x v="345"/>
    <x v="358"/>
    <n v="3"/>
    <n v="0.1"/>
    <n v="86.870400000000004"/>
  </r>
  <r>
    <s v="CA-2017-144904"/>
    <d v="2017-09-25T00:00:00"/>
    <x v="0"/>
    <s v="East"/>
    <s v="New York City"/>
    <s v="Office Supplies"/>
    <x v="346"/>
    <x v="359"/>
    <n v="2"/>
    <n v="0"/>
    <n v="1.4456"/>
  </r>
  <r>
    <s v="CA-2017-144904"/>
    <d v="2017-09-25T00:00:00"/>
    <x v="0"/>
    <s v="East"/>
    <s v="New York City"/>
    <s v="Furniture"/>
    <x v="178"/>
    <x v="360"/>
    <n v="8"/>
    <n v="0"/>
    <n v="20.732800000000001"/>
  </r>
  <r>
    <s v="CA-2017-146780"/>
    <d v="2017-12-25T00:00:00"/>
    <x v="3"/>
    <s v="East"/>
    <s v="New York City"/>
    <s v="Furniture"/>
    <x v="347"/>
    <x v="361"/>
    <n v="2"/>
    <n v="0"/>
    <n v="10.909599999999999"/>
  </r>
  <r>
    <s v="CA-2017-147277"/>
    <d v="2017-10-20T00:00:00"/>
    <x v="4"/>
    <s v="East"/>
    <s v="Akron"/>
    <s v="Furniture"/>
    <x v="25"/>
    <x v="362"/>
    <n v="2"/>
    <n v="0.4"/>
    <n v="-75.830399999999997"/>
  </r>
  <r>
    <s v="CA-2017-147277"/>
    <d v="2017-10-20T00:00:00"/>
    <x v="4"/>
    <s v="East"/>
    <s v="Akron"/>
    <s v="Office Supplies"/>
    <x v="348"/>
    <x v="363"/>
    <n v="2"/>
    <n v="0.2"/>
    <n v="66.540800000000004"/>
  </r>
  <r>
    <s v="CA-2017-149160"/>
    <d v="2017-11-23T00:00:00"/>
    <x v="2"/>
    <s v="Central"/>
    <s v="Canton"/>
    <s v="Furniture"/>
    <x v="349"/>
    <x v="276"/>
    <n v="2"/>
    <n v="0"/>
    <n v="11.076000000000001"/>
  </r>
  <r>
    <s v="CA-2017-149160"/>
    <d v="2017-11-23T00:00:00"/>
    <x v="2"/>
    <s v="Central"/>
    <s v="Canton"/>
    <s v="Office Supplies"/>
    <x v="350"/>
    <x v="364"/>
    <n v="8"/>
    <n v="0"/>
    <n v="138.20160000000001"/>
  </r>
  <r>
    <s v="CA-2017-152275"/>
    <d v="2017-10-01T00:00:00"/>
    <x v="4"/>
    <s v="Central"/>
    <s v="San Antonio"/>
    <s v="Office Supplies"/>
    <x v="351"/>
    <x v="365"/>
    <n v="6"/>
    <n v="0.2"/>
    <n v="0.50039999999999996"/>
  </r>
  <r>
    <s v="CA-2017-153339"/>
    <d v="2017-11-03T00:00:00"/>
    <x v="2"/>
    <s v="South"/>
    <s v="Murfreesboro"/>
    <s v="Furniture"/>
    <x v="352"/>
    <x v="366"/>
    <n v="1"/>
    <n v="0.2"/>
    <n v="0.99950000000000006"/>
  </r>
  <r>
    <s v="CA-2017-154214"/>
    <d v="2017-03-20T00:00:00"/>
    <x v="1"/>
    <s v="Central"/>
    <s v="Columbus"/>
    <s v="Furniture"/>
    <x v="353"/>
    <x v="367"/>
    <n v="1"/>
    <n v="0"/>
    <n v="1.3676999999999999"/>
  </r>
  <r>
    <s v="CA-2017-154816"/>
    <d v="2017-11-06T00:00:00"/>
    <x v="2"/>
    <s v="South"/>
    <s v="Richmond"/>
    <s v="Office Supplies"/>
    <x v="354"/>
    <x v="368"/>
    <n v="1"/>
    <n v="0"/>
    <n v="2.8321999999999998"/>
  </r>
  <r>
    <s v="CA-2017-154907"/>
    <d v="2017-03-31T00:00:00"/>
    <x v="1"/>
    <s v="Central"/>
    <s v="Amarillo"/>
    <s v="Furniture"/>
    <x v="355"/>
    <x v="369"/>
    <n v="2"/>
    <n v="0.32"/>
    <n v="-36.235199999999999"/>
  </r>
  <r>
    <s v="CA-2017-155376"/>
    <d v="2017-12-22T00:00:00"/>
    <x v="3"/>
    <s v="Central"/>
    <s v="Independence"/>
    <s v="Office Supplies"/>
    <x v="356"/>
    <x v="370"/>
    <n v="3"/>
    <n v="0"/>
    <n v="218.2518"/>
  </r>
  <r>
    <s v="CA-2017-155558"/>
    <d v="2017-10-26T00:00:00"/>
    <x v="4"/>
    <s v="Central"/>
    <s v="Rochester"/>
    <s v="Technology"/>
    <x v="296"/>
    <x v="371"/>
    <n v="1"/>
    <n v="0"/>
    <n v="6.7965999999999998"/>
  </r>
  <r>
    <s v="CA-2017-155558"/>
    <d v="2017-10-26T00:00:00"/>
    <x v="4"/>
    <s v="Central"/>
    <s v="Rochester"/>
    <s v="Office Supplies"/>
    <x v="357"/>
    <x v="106"/>
    <n v="2"/>
    <n v="0"/>
    <n v="2.9567999999999999"/>
  </r>
  <r>
    <s v="CA-2017-155698"/>
    <d v="2017-03-08T00:00:00"/>
    <x v="1"/>
    <s v="South"/>
    <s v="Columbus"/>
    <s v="Office Supplies"/>
    <x v="358"/>
    <x v="372"/>
    <n v="8"/>
    <n v="0"/>
    <n v="168.4384"/>
  </r>
  <r>
    <s v="CA-2017-155698"/>
    <d v="2017-03-08T00:00:00"/>
    <x v="1"/>
    <s v="South"/>
    <s v="Columbus"/>
    <s v="Office Supplies"/>
    <x v="344"/>
    <x v="357"/>
    <n v="2"/>
    <n v="0"/>
    <n v="9.9359999999999999"/>
  </r>
  <r>
    <s v="CA-2017-155705"/>
    <d v="2017-08-21T00:00:00"/>
    <x v="6"/>
    <s v="South"/>
    <s v="Jackson"/>
    <s v="Furniture"/>
    <x v="359"/>
    <x v="373"/>
    <n v="4"/>
    <n v="0"/>
    <n v="225.26400000000001"/>
  </r>
  <r>
    <s v="CA-2017-157252"/>
    <d v="2017-01-20T00:00:00"/>
    <x v="11"/>
    <s v="East"/>
    <s v="New York City"/>
    <s v="Furniture"/>
    <x v="360"/>
    <x v="374"/>
    <n v="3"/>
    <n v="0.1"/>
    <n v="2.3094000000000001"/>
  </r>
  <r>
    <s v="CA-2017-157833"/>
    <d v="2017-06-17T00:00:00"/>
    <x v="5"/>
    <s v="West"/>
    <s v="San Francisco"/>
    <s v="Office Supplies"/>
    <x v="361"/>
    <x v="101"/>
    <n v="3"/>
    <n v="0.2"/>
    <n v="17.959199999999999"/>
  </r>
  <r>
    <s v="CA-2017-160514"/>
    <d v="2017-11-12T00:00:00"/>
    <x v="2"/>
    <s v="West"/>
    <s v="Santa Clara"/>
    <s v="Office Supplies"/>
    <x v="362"/>
    <x v="375"/>
    <n v="2"/>
    <n v="0"/>
    <n v="4.7519999999999998"/>
  </r>
  <r>
    <s v="CA-2017-161018"/>
    <d v="2017-11-09T00:00:00"/>
    <x v="2"/>
    <s v="East"/>
    <s v="New York City"/>
    <s v="Furniture"/>
    <x v="363"/>
    <x v="376"/>
    <n v="7"/>
    <n v="0"/>
    <n v="40.5426"/>
  </r>
  <r>
    <s v="CA-2017-163139"/>
    <d v="2017-12-01T00:00:00"/>
    <x v="3"/>
    <s v="East"/>
    <s v="New York City"/>
    <s v="Technology"/>
    <x v="228"/>
    <x v="377"/>
    <n v="3"/>
    <n v="0"/>
    <n v="6.9257999999999997"/>
  </r>
  <r>
    <s v="CA-2017-163139"/>
    <d v="2017-12-01T00:00:00"/>
    <x v="3"/>
    <s v="East"/>
    <s v="New York City"/>
    <s v="Office Supplies"/>
    <x v="364"/>
    <x v="378"/>
    <n v="3"/>
    <n v="0"/>
    <n v="6.6464999999999996"/>
  </r>
  <r>
    <s v="CA-2017-163139"/>
    <d v="2017-12-01T00:00:00"/>
    <x v="3"/>
    <s v="East"/>
    <s v="New York City"/>
    <s v="Office Supplies"/>
    <x v="365"/>
    <x v="379"/>
    <n v="5"/>
    <n v="0.2"/>
    <n v="6.1319999999999997"/>
  </r>
  <r>
    <s v="CA-2017-163979"/>
    <d v="2017-12-28T00:00:00"/>
    <x v="3"/>
    <s v="West"/>
    <s v="San Francisco"/>
    <s v="Office Supplies"/>
    <x v="366"/>
    <x v="380"/>
    <n v="4"/>
    <n v="0"/>
    <n v="210.49359999999999"/>
  </r>
  <r>
    <s v="CA-2017-165603"/>
    <d v="2017-10-17T00:00:00"/>
    <x v="4"/>
    <s v="East"/>
    <s v="Warwick"/>
    <s v="Office Supplies"/>
    <x v="367"/>
    <x v="381"/>
    <n v="2"/>
    <n v="0"/>
    <n v="9.4923999999999999"/>
  </r>
  <r>
    <s v="CA-2017-165603"/>
    <d v="2017-10-17T00:00:00"/>
    <x v="4"/>
    <s v="East"/>
    <s v="Warwick"/>
    <s v="Office Supplies"/>
    <x v="368"/>
    <x v="146"/>
    <n v="2"/>
    <n v="0"/>
    <n v="6.2207999999999997"/>
  </r>
  <r>
    <s v="CA-2017-169901"/>
    <d v="2017-06-15T00:00:00"/>
    <x v="5"/>
    <s v="West"/>
    <s v="San Francisco"/>
    <s v="Technology"/>
    <x v="369"/>
    <x v="382"/>
    <n v="3"/>
    <n v="0.2"/>
    <n v="4.7976000000000001"/>
  </r>
  <r>
    <s v="US-2014-100853"/>
    <d v="2014-09-14T00:00:00"/>
    <x v="0"/>
    <s v="Central"/>
    <s v="Chicago"/>
    <s v="Office Supplies"/>
    <x v="370"/>
    <x v="383"/>
    <n v="2"/>
    <n v="0.8"/>
    <n v="-131.12"/>
  </r>
  <r>
    <s v="US-2014-100853"/>
    <d v="2014-09-14T00:00:00"/>
    <x v="0"/>
    <s v="Central"/>
    <s v="Chicago"/>
    <s v="Office Supplies"/>
    <x v="371"/>
    <x v="384"/>
    <n v="4"/>
    <n v="0.2"/>
    <n v="6.5519999999999996"/>
  </r>
  <r>
    <s v="US-2014-106992"/>
    <d v="2014-09-19T00:00:00"/>
    <x v="0"/>
    <s v="Central"/>
    <s v="Houston"/>
    <s v="Technology"/>
    <x v="55"/>
    <x v="385"/>
    <n v="3"/>
    <n v="0.4"/>
    <n v="-509.99700000000001"/>
  </r>
  <r>
    <s v="US-2014-106992"/>
    <d v="2014-09-19T00:00:00"/>
    <x v="0"/>
    <s v="Central"/>
    <s v="Houston"/>
    <s v="Technology"/>
    <x v="372"/>
    <x v="386"/>
    <n v="7"/>
    <n v="0.4"/>
    <n v="-251.9958"/>
  </r>
  <r>
    <s v="US-2014-110674"/>
    <d v="2014-02-12T00:00:00"/>
    <x v="10"/>
    <s v="West"/>
    <s v="Concord"/>
    <s v="Furniture"/>
    <x v="373"/>
    <x v="387"/>
    <n v="2"/>
    <n v="0.2"/>
    <n v="-24.294"/>
  </r>
  <r>
    <s v="US-2014-119137"/>
    <d v="2014-07-23T00:00:00"/>
    <x v="8"/>
    <s v="West"/>
    <s v="Tucson"/>
    <s v="Office Supplies"/>
    <x v="374"/>
    <x v="388"/>
    <n v="5"/>
    <n v="0.7"/>
    <n v="-5.7119999999999997"/>
  </r>
  <r>
    <s v="US-2014-119137"/>
    <d v="2014-07-23T00:00:00"/>
    <x v="8"/>
    <s v="West"/>
    <s v="Tucson"/>
    <s v="Technology"/>
    <x v="375"/>
    <x v="389"/>
    <n v="8"/>
    <n v="0.2"/>
    <n v="179.18879999999999"/>
  </r>
  <r>
    <s v="US-2014-119137"/>
    <d v="2014-07-23T00:00:00"/>
    <x v="8"/>
    <s v="West"/>
    <s v="Tucson"/>
    <s v="Office Supplies"/>
    <x v="376"/>
    <x v="390"/>
    <n v="1"/>
    <n v="0.2"/>
    <n v="0.92400000000000004"/>
  </r>
  <r>
    <s v="US-2014-119137"/>
    <d v="2014-07-23T00:00:00"/>
    <x v="8"/>
    <s v="West"/>
    <s v="Tucson"/>
    <s v="Technology"/>
    <x v="377"/>
    <x v="391"/>
    <n v="10"/>
    <n v="0.2"/>
    <n v="-29.94"/>
  </r>
  <r>
    <s v="US-2014-134614"/>
    <d v="2014-09-20T00:00:00"/>
    <x v="0"/>
    <s v="Central"/>
    <s v="Bloomington"/>
    <s v="Furniture"/>
    <x v="378"/>
    <x v="392"/>
    <n v="6"/>
    <n v="0.5"/>
    <n v="-407.68200000000002"/>
  </r>
  <r>
    <s v="US-2014-134971"/>
    <d v="2014-06-07T00:00:00"/>
    <x v="5"/>
    <s v="Central"/>
    <s v="Peoria"/>
    <s v="Office Supplies"/>
    <x v="379"/>
    <x v="393"/>
    <n v="3"/>
    <n v="0.8"/>
    <n v="-20.5623"/>
  </r>
  <r>
    <s v="US-2014-135972"/>
    <d v="2014-09-21T00:00:00"/>
    <x v="0"/>
    <s v="West"/>
    <s v="Des Moines"/>
    <s v="Technology"/>
    <x v="380"/>
    <x v="394"/>
    <n v="2"/>
    <n v="0.2"/>
    <n v="27.7182"/>
  </r>
  <r>
    <s v="US-2014-135972"/>
    <d v="2014-09-21T00:00:00"/>
    <x v="0"/>
    <s v="West"/>
    <s v="Des Moines"/>
    <s v="Technology"/>
    <x v="381"/>
    <x v="395"/>
    <n v="3"/>
    <n v="0"/>
    <n v="701.98829999999998"/>
  </r>
  <r>
    <s v="US-2014-147606"/>
    <d v="2014-11-26T00:00:00"/>
    <x v="2"/>
    <s v="Central"/>
    <s v="Houston"/>
    <s v="Furniture"/>
    <x v="382"/>
    <x v="396"/>
    <n v="5"/>
    <n v="0.6"/>
    <n v="-14.475"/>
  </r>
  <r>
    <s v="US-2014-150574"/>
    <d v="2014-12-19T00:00:00"/>
    <x v="3"/>
    <s v="South"/>
    <s v="Jacksonville"/>
    <s v="Office Supplies"/>
    <x v="383"/>
    <x v="397"/>
    <n v="2"/>
    <n v="0.7"/>
    <n v="-3.6892"/>
  </r>
  <r>
    <s v="US-2014-150574"/>
    <d v="2014-12-19T00:00:00"/>
    <x v="3"/>
    <s v="South"/>
    <s v="Jacksonville"/>
    <s v="Technology"/>
    <x v="384"/>
    <x v="398"/>
    <n v="5"/>
    <n v="0.2"/>
    <n v="-18.585000000000001"/>
  </r>
  <r>
    <s v="US-2014-152030"/>
    <d v="2014-12-26T00:00:00"/>
    <x v="3"/>
    <s v="Central"/>
    <s v="Houston"/>
    <s v="Furniture"/>
    <x v="1"/>
    <x v="399"/>
    <n v="3"/>
    <n v="0.3"/>
    <n v="-8.5793999999999997"/>
  </r>
  <r>
    <s v="US-2014-156216"/>
    <d v="2014-09-13T00:00:00"/>
    <x v="0"/>
    <s v="South"/>
    <s v="Charlotte"/>
    <s v="Office Supplies"/>
    <x v="385"/>
    <x v="400"/>
    <n v="7"/>
    <n v="0.7"/>
    <n v="-12.432"/>
  </r>
  <r>
    <s v="US-2015-101399"/>
    <d v="2015-01-17T00:00:00"/>
    <x v="11"/>
    <s v="Central"/>
    <s v="Park Ridge"/>
    <s v="Furniture"/>
    <x v="10"/>
    <x v="401"/>
    <n v="7"/>
    <n v="0.6"/>
    <n v="-312.06139999999999"/>
  </r>
  <r>
    <s v="US-2015-101511"/>
    <d v="2015-11-21T00:00:00"/>
    <x v="2"/>
    <s v="East"/>
    <s v="Newark"/>
    <s v="Furniture"/>
    <x v="386"/>
    <x v="402"/>
    <n v="7"/>
    <n v="0.3"/>
    <n v="-11.337199999999999"/>
  </r>
  <r>
    <s v="US-2015-101511"/>
    <d v="2015-11-21T00:00:00"/>
    <x v="2"/>
    <s v="East"/>
    <s v="Newark"/>
    <s v="Office Supplies"/>
    <x v="387"/>
    <x v="403"/>
    <n v="5"/>
    <n v="0.2"/>
    <n v="-3.7715000000000001"/>
  </r>
  <r>
    <s v="US-2015-108966"/>
    <d v="2015-10-11T00:00:00"/>
    <x v="4"/>
    <s v="South"/>
    <s v="Fort Lauderdale"/>
    <s v="Furniture"/>
    <x v="95"/>
    <x v="404"/>
    <n v="5"/>
    <n v="0.45"/>
    <n v="-383.03100000000001"/>
  </r>
  <r>
    <s v="US-2015-108966"/>
    <d v="2015-10-11T00:00:00"/>
    <x v="4"/>
    <s v="South"/>
    <s v="Fort Lauderdale"/>
    <s v="Office Supplies"/>
    <x v="388"/>
    <x v="405"/>
    <n v="2"/>
    <n v="0.2"/>
    <n v="2.5164"/>
  </r>
  <r>
    <s v="US-2015-118983"/>
    <d v="2015-11-22T00:00:00"/>
    <x v="2"/>
    <s v="Central"/>
    <s v="Fort Worth"/>
    <s v="Office Supplies"/>
    <x v="389"/>
    <x v="406"/>
    <n v="5"/>
    <n v="0.8"/>
    <n v="-123.858"/>
  </r>
  <r>
    <s v="US-2015-118983"/>
    <d v="2015-11-22T00:00:00"/>
    <x v="2"/>
    <s v="Central"/>
    <s v="Fort Worth"/>
    <s v="Office Supplies"/>
    <x v="390"/>
    <x v="407"/>
    <n v="3"/>
    <n v="0.8"/>
    <n v="-3.8159999999999998"/>
  </r>
  <r>
    <s v="US-2015-120712"/>
    <d v="2015-12-20T00:00:00"/>
    <x v="3"/>
    <s v="Central"/>
    <s v="Austin"/>
    <s v="Office Supplies"/>
    <x v="87"/>
    <x v="408"/>
    <n v="4"/>
    <n v="0.2"/>
    <n v="-2.2200000000000002"/>
  </r>
  <r>
    <s v="US-2015-134026"/>
    <d v="2015-04-26T00:00:00"/>
    <x v="7"/>
    <s v="South"/>
    <s v="Memphis"/>
    <s v="Furniture"/>
    <x v="391"/>
    <x v="409"/>
    <n v="8"/>
    <n v="0.2"/>
    <n v="-114.3912"/>
  </r>
  <r>
    <s v="US-2015-134026"/>
    <d v="2015-04-26T00:00:00"/>
    <x v="7"/>
    <s v="South"/>
    <s v="Memphis"/>
    <s v="Furniture"/>
    <x v="392"/>
    <x v="410"/>
    <n v="2"/>
    <n v="0.2"/>
    <n v="1.2130000000000001"/>
  </r>
  <r>
    <s v="US-2015-134026"/>
    <d v="2015-04-26T00:00:00"/>
    <x v="7"/>
    <s v="South"/>
    <s v="Memphis"/>
    <s v="Office Supplies"/>
    <x v="393"/>
    <x v="411"/>
    <n v="1"/>
    <n v="0.2"/>
    <n v="-18.196000000000002"/>
  </r>
  <r>
    <s v="US-2015-136476"/>
    <d v="2015-04-05T00:00:00"/>
    <x v="7"/>
    <s v="South"/>
    <s v="Bristol"/>
    <s v="Office Supplies"/>
    <x v="394"/>
    <x v="412"/>
    <n v="1"/>
    <n v="0.7"/>
    <n v="-115.71559999999999"/>
  </r>
  <r>
    <s v="US-2015-145436"/>
    <d v="2015-02-28T00:00:00"/>
    <x v="10"/>
    <s v="South"/>
    <s v="Columbia"/>
    <s v="Furniture"/>
    <x v="395"/>
    <x v="413"/>
    <n v="2"/>
    <n v="0.2"/>
    <n v="-28.2744"/>
  </r>
  <r>
    <s v="US-2015-145436"/>
    <d v="2015-02-28T00:00:00"/>
    <x v="10"/>
    <s v="South"/>
    <s v="Columbia"/>
    <s v="Furniture"/>
    <x v="396"/>
    <x v="414"/>
    <n v="8"/>
    <n v="0.2"/>
    <n v="43.840800000000002"/>
  </r>
  <r>
    <s v="US-2015-150630"/>
    <d v="2015-09-17T00:00:00"/>
    <x v="0"/>
    <s v="East"/>
    <s v="Philadelphia"/>
    <s v="Furniture"/>
    <x v="173"/>
    <x v="415"/>
    <n v="7"/>
    <n v="0.5"/>
    <n v="-1665.0522000000001"/>
  </r>
  <r>
    <s v="US-2015-150630"/>
    <d v="2015-09-17T00:00:00"/>
    <x v="0"/>
    <s v="East"/>
    <s v="Philadelphia"/>
    <s v="Office Supplies"/>
    <x v="397"/>
    <x v="416"/>
    <n v="2"/>
    <n v="0.7"/>
    <n v="-7.0532000000000004"/>
  </r>
  <r>
    <s v="US-2015-150630"/>
    <d v="2015-09-17T00:00:00"/>
    <x v="0"/>
    <s v="East"/>
    <s v="Philadelphia"/>
    <s v="Furniture"/>
    <x v="183"/>
    <x v="417"/>
    <n v="3"/>
    <n v="0.2"/>
    <n v="15.525"/>
  </r>
  <r>
    <s v="US-2015-150630"/>
    <d v="2015-09-17T00:00:00"/>
    <x v="0"/>
    <s v="East"/>
    <s v="Philadelphia"/>
    <s v="Office Supplies"/>
    <x v="126"/>
    <x v="418"/>
    <n v="2"/>
    <n v="0.2"/>
    <n v="1.1015999999999999"/>
  </r>
  <r>
    <s v="US-2015-150630"/>
    <d v="2015-09-17T00:00:00"/>
    <x v="0"/>
    <s v="East"/>
    <s v="Philadelphia"/>
    <s v="Office Supplies"/>
    <x v="398"/>
    <x v="419"/>
    <n v="6"/>
    <n v="0.2"/>
    <n v="9.7091999999999992"/>
  </r>
  <r>
    <s v="US-2015-150630"/>
    <d v="2015-09-17T00:00:00"/>
    <x v="0"/>
    <s v="East"/>
    <s v="Philadelphia"/>
    <s v="Office Supplies"/>
    <x v="399"/>
    <x v="420"/>
    <n v="6"/>
    <n v="0.7"/>
    <n v="-5.7149999999999999"/>
  </r>
  <r>
    <s v="US-2015-150630"/>
    <d v="2015-09-17T00:00:00"/>
    <x v="0"/>
    <s v="East"/>
    <s v="Philadelphia"/>
    <s v="Office Supplies"/>
    <x v="400"/>
    <x v="421"/>
    <n v="2"/>
    <n v="0.2"/>
    <n v="3.5459999999999998"/>
  </r>
  <r>
    <s v="US-2015-156867"/>
    <d v="2015-11-13T00:00:00"/>
    <x v="2"/>
    <s v="West"/>
    <s v="Aurora"/>
    <s v="Technology"/>
    <x v="401"/>
    <x v="422"/>
    <n v="6"/>
    <n v="0.2"/>
    <n v="-26.875800000000002"/>
  </r>
  <r>
    <s v="US-2015-156867"/>
    <d v="2015-11-13T00:00:00"/>
    <x v="2"/>
    <s v="West"/>
    <s v="Aurora"/>
    <s v="Furniture"/>
    <x v="402"/>
    <x v="423"/>
    <n v="3"/>
    <n v="0.2"/>
    <n v="-3.8384999999999998"/>
  </r>
  <r>
    <s v="US-2015-156867"/>
    <d v="2015-11-13T00:00:00"/>
    <x v="2"/>
    <s v="West"/>
    <s v="Aurora"/>
    <s v="Office Supplies"/>
    <x v="403"/>
    <x v="424"/>
    <n v="3"/>
    <n v="0.7"/>
    <n v="-25.817399999999999"/>
  </r>
  <r>
    <s v="US-2015-159982"/>
    <d v="2015-11-28T00:00:00"/>
    <x v="2"/>
    <s v="Central"/>
    <s v="Chicago"/>
    <s v="Furniture"/>
    <x v="279"/>
    <x v="425"/>
    <n v="9"/>
    <n v="0.6"/>
    <n v="-8.4923999999999999"/>
  </r>
  <r>
    <s v="US-2015-159982"/>
    <d v="2015-11-28T00:00:00"/>
    <x v="2"/>
    <s v="Central"/>
    <s v="Chicago"/>
    <s v="Office Supplies"/>
    <x v="404"/>
    <x v="426"/>
    <n v="2"/>
    <n v="0.2"/>
    <n v="-19.5624"/>
  </r>
  <r>
    <s v="US-2015-159982"/>
    <d v="2015-11-28T00:00:00"/>
    <x v="2"/>
    <s v="Central"/>
    <s v="Chicago"/>
    <s v="Office Supplies"/>
    <x v="115"/>
    <x v="427"/>
    <n v="5"/>
    <n v="0.2"/>
    <n v="4.0439999999999996"/>
  </r>
  <r>
    <s v="US-2015-159982"/>
    <d v="2015-11-28T00:00:00"/>
    <x v="2"/>
    <s v="Central"/>
    <s v="Chicago"/>
    <s v="Technology"/>
    <x v="405"/>
    <x v="428"/>
    <n v="6"/>
    <n v="0.2"/>
    <n v="56.691600000000001"/>
  </r>
  <r>
    <s v="US-2015-161991"/>
    <d v="2015-09-26T00:00:00"/>
    <x v="0"/>
    <s v="Central"/>
    <s v="Houston"/>
    <s v="Office Supplies"/>
    <x v="406"/>
    <x v="429"/>
    <n v="5"/>
    <n v="0.8"/>
    <n v="-3.4319999999999999"/>
  </r>
  <r>
    <s v="US-2015-161991"/>
    <d v="2015-09-26T00:00:00"/>
    <x v="0"/>
    <s v="Central"/>
    <s v="Houston"/>
    <s v="Technology"/>
    <x v="407"/>
    <x v="430"/>
    <n v="7"/>
    <n v="0.2"/>
    <n v="376.11"/>
  </r>
  <r>
    <s v="US-2015-164175"/>
    <d v="2015-04-30T00:00:00"/>
    <x v="7"/>
    <s v="Central"/>
    <s v="Chicago"/>
    <s v="Furniture"/>
    <x v="408"/>
    <x v="431"/>
    <n v="5"/>
    <n v="0.3"/>
    <n v="-15.2225"/>
  </r>
  <r>
    <s v="US-2015-168935"/>
    <d v="2015-11-27T00:00:00"/>
    <x v="2"/>
    <s v="South"/>
    <s v="Pembroke Pines"/>
    <s v="Furniture"/>
    <x v="409"/>
    <x v="432"/>
    <n v="3"/>
    <n v="0.45"/>
    <n v="-157.0095"/>
  </r>
  <r>
    <s v="US-2015-168935"/>
    <d v="2015-11-27T00:00:00"/>
    <x v="2"/>
    <s v="South"/>
    <s v="Pembroke Pines"/>
    <s v="Technology"/>
    <x v="410"/>
    <x v="433"/>
    <n v="3"/>
    <n v="0.2"/>
    <n v="-1.0497000000000001"/>
  </r>
  <r>
    <s v="US-2016-100419"/>
    <d v="2016-12-16T00:00:00"/>
    <x v="3"/>
    <s v="Central"/>
    <s v="Chicago"/>
    <s v="Office Supplies"/>
    <x v="411"/>
    <x v="434"/>
    <n v="3"/>
    <n v="0.8"/>
    <n v="-7.9001999999999999"/>
  </r>
  <r>
    <s v="US-2016-120929"/>
    <d v="2016-03-18T00:00:00"/>
    <x v="1"/>
    <s v="South"/>
    <s v="Memphis"/>
    <s v="Furniture"/>
    <x v="412"/>
    <x v="435"/>
    <n v="3"/>
    <n v="0.4"/>
    <n v="-94.941000000000003"/>
  </r>
  <r>
    <s v="US-2016-123750"/>
    <d v="2016-04-15T00:00:00"/>
    <x v="7"/>
    <s v="South"/>
    <s v="Gastonia"/>
    <s v="Office Supplies"/>
    <x v="413"/>
    <x v="436"/>
    <n v="2"/>
    <n v="0.7"/>
    <n v="-145.35079999999999"/>
  </r>
  <r>
    <s v="US-2016-123750"/>
    <d v="2016-04-15T00:00:00"/>
    <x v="7"/>
    <s v="South"/>
    <s v="Gastonia"/>
    <s v="Technology"/>
    <x v="86"/>
    <x v="88"/>
    <n v="7"/>
    <n v="0.2"/>
    <n v="76.639499999999998"/>
  </r>
  <r>
    <s v="US-2016-123750"/>
    <d v="2016-04-15T00:00:00"/>
    <x v="7"/>
    <s v="South"/>
    <s v="Gastonia"/>
    <s v="Technology"/>
    <x v="86"/>
    <x v="437"/>
    <n v="5"/>
    <n v="0.2"/>
    <n v="54.7425"/>
  </r>
  <r>
    <s v="US-2016-123750"/>
    <d v="2016-04-15T00:00:00"/>
    <x v="7"/>
    <s v="South"/>
    <s v="Gastonia"/>
    <s v="Office Supplies"/>
    <x v="414"/>
    <x v="438"/>
    <n v="2"/>
    <n v="0.2"/>
    <n v="-0.77480000000000004"/>
  </r>
  <r>
    <s v="US-2016-125969"/>
    <d v="2016-11-06T00:00:00"/>
    <x v="2"/>
    <s v="West"/>
    <s v="Los Angeles"/>
    <s v="Furniture"/>
    <x v="415"/>
    <x v="439"/>
    <n v="2"/>
    <n v="0.2"/>
    <n v="-9.1601999999999997"/>
  </r>
  <r>
    <s v="US-2016-125969"/>
    <d v="2016-11-06T00:00:00"/>
    <x v="2"/>
    <s v="West"/>
    <s v="Los Angeles"/>
    <s v="Furniture"/>
    <x v="416"/>
    <x v="440"/>
    <n v="3"/>
    <n v="0"/>
    <n v="26.241599999999998"/>
  </r>
  <r>
    <s v="US-2016-134656"/>
    <d v="2016-09-28T00:00:00"/>
    <x v="0"/>
    <s v="Central"/>
    <s v="Quincy"/>
    <s v="Office Supplies"/>
    <x v="417"/>
    <x v="81"/>
    <n v="4"/>
    <n v="0.2"/>
    <n v="30.98"/>
  </r>
  <r>
    <s v="US-2016-141544"/>
    <d v="2016-08-30T00:00:00"/>
    <x v="6"/>
    <s v="East"/>
    <s v="Philadelphia"/>
    <s v="Technology"/>
    <x v="418"/>
    <x v="441"/>
    <n v="3"/>
    <n v="0.4"/>
    <n v="-67.876199999999997"/>
  </r>
  <r>
    <s v="US-2016-141544"/>
    <d v="2016-08-30T00:00:00"/>
    <x v="6"/>
    <s v="East"/>
    <s v="Philadelphia"/>
    <s v="Office Supplies"/>
    <x v="419"/>
    <x v="442"/>
    <n v="2"/>
    <n v="0.2"/>
    <n v="3.3889999999999998"/>
  </r>
  <r>
    <s v="US-2016-141544"/>
    <d v="2016-08-30T00:00:00"/>
    <x v="6"/>
    <s v="East"/>
    <s v="Philadelphia"/>
    <s v="Furniture"/>
    <x v="420"/>
    <x v="443"/>
    <n v="4"/>
    <n v="0.3"/>
    <n v="-258.5016"/>
  </r>
  <r>
    <s v="US-2016-141544"/>
    <d v="2016-08-30T00:00:00"/>
    <x v="6"/>
    <s v="East"/>
    <s v="Philadelphia"/>
    <s v="Office Supplies"/>
    <x v="421"/>
    <x v="444"/>
    <n v="10"/>
    <n v="0.2"/>
    <n v="33.831000000000003"/>
  </r>
  <r>
    <s v="US-2016-141544"/>
    <d v="2016-08-30T00:00:00"/>
    <x v="6"/>
    <s v="East"/>
    <s v="Philadelphia"/>
    <s v="Office Supplies"/>
    <x v="422"/>
    <x v="445"/>
    <n v="6"/>
    <n v="0.7"/>
    <n v="-27.6936"/>
  </r>
  <r>
    <s v="US-2016-150147"/>
    <d v="2016-04-25T00:00:00"/>
    <x v="7"/>
    <s v="East"/>
    <s v="Philadelphia"/>
    <s v="Technology"/>
    <x v="423"/>
    <x v="189"/>
    <n v="2"/>
    <n v="0.4"/>
    <n v="-20.7"/>
  </r>
  <r>
    <s v="US-2016-150147"/>
    <d v="2016-04-25T00:00:00"/>
    <x v="7"/>
    <s v="East"/>
    <s v="Philadelphia"/>
    <s v="Office Supplies"/>
    <x v="424"/>
    <x v="446"/>
    <n v="2"/>
    <n v="0.7"/>
    <n v="-13.816000000000001"/>
  </r>
  <r>
    <s v="US-2016-150147"/>
    <d v="2016-04-25T00:00:00"/>
    <x v="7"/>
    <s v="East"/>
    <s v="Philadelphia"/>
    <s v="Office Supplies"/>
    <x v="374"/>
    <x v="447"/>
    <n v="3"/>
    <n v="0.7"/>
    <n v="-3.4272"/>
  </r>
  <r>
    <s v="US-2016-157945"/>
    <d v="2016-09-26T00:00:00"/>
    <x v="0"/>
    <s v="Central"/>
    <s v="Decatur"/>
    <s v="Furniture"/>
    <x v="425"/>
    <x v="448"/>
    <n v="3"/>
    <n v="0.3"/>
    <n v="-96.114599999999996"/>
  </r>
  <r>
    <s v="US-2016-157945"/>
    <d v="2016-09-26T00:00:00"/>
    <x v="0"/>
    <s v="Central"/>
    <s v="Decatur"/>
    <s v="Office Supplies"/>
    <x v="269"/>
    <x v="449"/>
    <n v="2"/>
    <n v="0.2"/>
    <n v="3.3479999999999999"/>
  </r>
  <r>
    <s v="US-2017-100930"/>
    <d v="2017-04-07T00:00:00"/>
    <x v="7"/>
    <s v="South"/>
    <s v="Tampa"/>
    <s v="Furniture"/>
    <x v="426"/>
    <x v="450"/>
    <n v="2"/>
    <n v="0.45"/>
    <n v="-102.048"/>
  </r>
  <r>
    <s v="US-2017-100930"/>
    <d v="2017-04-07T00:00:00"/>
    <x v="7"/>
    <s v="South"/>
    <s v="Tampa"/>
    <s v="Furniture"/>
    <x v="427"/>
    <x v="451"/>
    <n v="3"/>
    <n v="0.45"/>
    <n v="-248.2458"/>
  </r>
  <r>
    <s v="US-2017-100930"/>
    <d v="2017-04-07T00:00:00"/>
    <x v="7"/>
    <s v="South"/>
    <s v="Tampa"/>
    <s v="Office Supplies"/>
    <x v="385"/>
    <x v="452"/>
    <n v="2"/>
    <n v="0.7"/>
    <n v="-3.552"/>
  </r>
  <r>
    <s v="US-2017-100930"/>
    <d v="2017-04-07T00:00:00"/>
    <x v="7"/>
    <s v="South"/>
    <s v="Tampa"/>
    <s v="Furniture"/>
    <x v="428"/>
    <x v="453"/>
    <n v="3"/>
    <n v="0.2"/>
    <n v="0"/>
  </r>
  <r>
    <s v="US-2017-100930"/>
    <d v="2017-04-07T00:00:00"/>
    <x v="7"/>
    <s v="South"/>
    <s v="Tampa"/>
    <s v="Technology"/>
    <x v="261"/>
    <x v="454"/>
    <n v="3"/>
    <n v="0.2"/>
    <n v="-7.7247000000000003"/>
  </r>
  <r>
    <s v="US-2017-107272"/>
    <d v="2017-11-05T00:00:00"/>
    <x v="2"/>
    <s v="West"/>
    <s v="Phoenix"/>
    <s v="Office Supplies"/>
    <x v="334"/>
    <x v="455"/>
    <n v="2"/>
    <n v="0.7"/>
    <n v="-1.8308"/>
  </r>
  <r>
    <s v="US-2017-107272"/>
    <d v="2017-11-05T00:00:00"/>
    <x v="2"/>
    <s v="West"/>
    <s v="Phoenix"/>
    <s v="Office Supplies"/>
    <x v="84"/>
    <x v="456"/>
    <n v="7"/>
    <n v="0.2"/>
    <n v="30.498999999999999"/>
  </r>
  <r>
    <s v="US-2017-109484"/>
    <d v="2017-11-06T00:00:00"/>
    <x v="2"/>
    <s v="West"/>
    <s v="Portland"/>
    <s v="Office Supplies"/>
    <x v="429"/>
    <x v="457"/>
    <n v="1"/>
    <n v="0.7"/>
    <n v="-3.7879999999999998"/>
  </r>
  <r>
    <s v="US-2017-116701"/>
    <d v="2017-12-17T00:00:00"/>
    <x v="3"/>
    <s v="Central"/>
    <s v="Dallas"/>
    <s v="Office Supplies"/>
    <x v="430"/>
    <x v="458"/>
    <n v="2"/>
    <n v="0.8"/>
    <n v="-178.96680000000001"/>
  </r>
  <r>
    <s v="US-2017-118038"/>
    <d v="2017-12-09T00:00:00"/>
    <x v="3"/>
    <s v="Central"/>
    <s v="Houston"/>
    <s v="Office Supplies"/>
    <x v="431"/>
    <x v="459"/>
    <n v="3"/>
    <n v="0.8"/>
    <n v="-1.9343999999999999"/>
  </r>
  <r>
    <s v="US-2017-118038"/>
    <d v="2017-12-09T00:00:00"/>
    <x v="3"/>
    <s v="Central"/>
    <s v="Houston"/>
    <s v="Furniture"/>
    <x v="432"/>
    <x v="460"/>
    <n v="3"/>
    <n v="0.6"/>
    <n v="-5.8247999999999998"/>
  </r>
  <r>
    <s v="US-2017-118038"/>
    <d v="2017-12-09T00:00:00"/>
    <x v="3"/>
    <s v="Central"/>
    <s v="Houston"/>
    <s v="Office Supplies"/>
    <x v="433"/>
    <x v="234"/>
    <n v="3"/>
    <n v="0.2"/>
    <n v="2.7240000000000002"/>
  </r>
  <r>
    <s v="US-2017-119662"/>
    <d v="2017-11-13T00:00:00"/>
    <x v="2"/>
    <s v="Central"/>
    <s v="Chicago"/>
    <s v="Office Supplies"/>
    <x v="100"/>
    <x v="461"/>
    <n v="3"/>
    <n v="0.2"/>
    <n v="-48.954900000000002"/>
  </r>
  <r>
    <s v="US-2017-124303"/>
    <d v="2017-07-06T00:00:00"/>
    <x v="8"/>
    <s v="East"/>
    <s v="Philadelphia"/>
    <s v="Office Supplies"/>
    <x v="434"/>
    <x v="462"/>
    <n v="2"/>
    <n v="0.7"/>
    <n v="-2.2585999999999999"/>
  </r>
  <r>
    <s v="US-2017-124303"/>
    <d v="2017-07-06T00:00:00"/>
    <x v="8"/>
    <s v="East"/>
    <s v="Philadelphia"/>
    <s v="Office Supplies"/>
    <x v="435"/>
    <x v="463"/>
    <n v="3"/>
    <n v="0.2"/>
    <n v="5.8202999999999996"/>
  </r>
  <r>
    <s v="US-2017-134481"/>
    <d v="2017-08-27T00:00:00"/>
    <x v="6"/>
    <s v="East"/>
    <s v="Franklin"/>
    <s v="Furniture"/>
    <x v="436"/>
    <x v="464"/>
    <n v="7"/>
    <n v="0.3"/>
    <n v="-297.6848"/>
  </r>
  <r>
    <s v="US-2017-145366"/>
    <d v="2017-12-09T00:00:00"/>
    <x v="3"/>
    <s v="East"/>
    <s v="Cincinnati"/>
    <s v="Office Supplies"/>
    <x v="437"/>
    <x v="465"/>
    <n v="1"/>
    <n v="0.2"/>
    <n v="-7.4416000000000002"/>
  </r>
  <r>
    <s v="US-2017-145366"/>
    <d v="2017-12-09T00:00:00"/>
    <x v="3"/>
    <s v="East"/>
    <s v="Cincinnati"/>
    <s v="Office Supplies"/>
    <x v="438"/>
    <x v="466"/>
    <n v="3"/>
    <n v="0.2"/>
    <n v="21.591000000000001"/>
  </r>
  <r>
    <s v="US-2017-152366"/>
    <d v="2017-04-21T00:00:00"/>
    <x v="7"/>
    <s v="Central"/>
    <s v="Houston"/>
    <s v="Office Supplies"/>
    <x v="197"/>
    <x v="467"/>
    <n v="4"/>
    <n v="0.8"/>
    <n v="-243.16"/>
  </r>
  <r>
    <s v="US-2017-152380"/>
    <d v="2017-11-19T00:00:00"/>
    <x v="2"/>
    <s v="Central"/>
    <s v="Chicago"/>
    <s v="Furniture"/>
    <x v="439"/>
    <x v="468"/>
    <n v="3"/>
    <n v="0.5"/>
    <n v="-131.44499999999999"/>
  </r>
  <r>
    <s v="US-2017-155299"/>
    <d v="2017-06-08T00:00:00"/>
    <x v="5"/>
    <s v="Central"/>
    <s v="Pasadena"/>
    <s v="Office Supplies"/>
    <x v="440"/>
    <x v="469"/>
    <n v="2"/>
    <n v="0.8"/>
    <n v="-4.4660000000000002"/>
  </r>
  <r>
    <s v="US-2017-156909"/>
    <d v="2017-07-16T00:00:00"/>
    <x v="8"/>
    <s v="East"/>
    <s v="Philadelphia"/>
    <s v="Furniture"/>
    <x v="441"/>
    <x v="470"/>
    <n v="2"/>
    <n v="0.3"/>
    <n v="-1.0196000000000001"/>
  </r>
  <r>
    <s v="US-2017-164147"/>
    <d v="2017-02-02T00:00:00"/>
    <x v="10"/>
    <s v="East"/>
    <s v="Columbus"/>
    <s v="Technology"/>
    <x v="369"/>
    <x v="471"/>
    <n v="5"/>
    <n v="0.4"/>
    <n v="-11.994"/>
  </r>
  <r>
    <s v="US-2017-164147"/>
    <d v="2017-02-02T00:00:00"/>
    <x v="10"/>
    <s v="East"/>
    <s v="Columbus"/>
    <s v="Office Supplies"/>
    <x v="442"/>
    <x v="472"/>
    <n v="2"/>
    <n v="0.2"/>
    <n v="29.364000000000001"/>
  </r>
  <r>
    <s v="US-2017-164147"/>
    <d v="2017-02-02T00:00:00"/>
    <x v="10"/>
    <s v="East"/>
    <s v="Columbus"/>
    <s v="Office Supplies"/>
    <x v="34"/>
    <x v="473"/>
    <n v="9"/>
    <n v="0.2"/>
    <n v="6.9732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79C6EA-542F-4F09-A43B-A9F88DDB154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1">
    <pivotField showAll="0"/>
    <pivotField showAll="0"/>
    <pivotField showAll="0"/>
    <pivotField axis="axisRow" showAll="0" sortType="ascending">
      <items count="6">
        <item x="2"/>
        <item x="0"/>
        <item x="3"/>
        <item x="1"/>
        <item h="1" x="4"/>
        <item t="default"/>
      </items>
    </pivotField>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FD0139-04C1-4EDB-946B-A5F23AB5985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67:B78" firstHeaderRow="1" firstDataRow="1" firstDataCol="1"/>
  <pivotFields count="11">
    <pivotField showAll="0"/>
    <pivotField numFmtId="14" showAll="0"/>
    <pivotField showAll="0"/>
    <pivotField showAll="0"/>
    <pivotField showAll="0"/>
    <pivotField showAll="0"/>
    <pivotField axis="axisRow" showAll="0" measureFilter="1" sortType="descending">
      <items count="444">
        <item x="241"/>
        <item x="105"/>
        <item x="223"/>
        <item x="367"/>
        <item x="112"/>
        <item x="96"/>
        <item x="94"/>
        <item x="290"/>
        <item x="432"/>
        <item x="363"/>
        <item x="418"/>
        <item x="365"/>
        <item x="197"/>
        <item x="98"/>
        <item x="230"/>
        <item x="399"/>
        <item x="129"/>
        <item x="239"/>
        <item x="110"/>
        <item x="387"/>
        <item x="243"/>
        <item x="28"/>
        <item x="44"/>
        <item x="328"/>
        <item x="366"/>
        <item x="235"/>
        <item x="338"/>
        <item x="169"/>
        <item x="335"/>
        <item x="184"/>
        <item x="120"/>
        <item x="340"/>
        <item x="206"/>
        <item x="305"/>
        <item x="317"/>
        <item x="295"/>
        <item x="369"/>
        <item x="203"/>
        <item x="73"/>
        <item x="192"/>
        <item x="163"/>
        <item x="88"/>
        <item x="423"/>
        <item x="170"/>
        <item x="76"/>
        <item x="93"/>
        <item x="91"/>
        <item x="201"/>
        <item x="102"/>
        <item x="330"/>
        <item x="137"/>
        <item x="253"/>
        <item x="371"/>
        <item x="357"/>
        <item x="185"/>
        <item x="200"/>
        <item x="211"/>
        <item x="344"/>
        <item x="171"/>
        <item x="227"/>
        <item x="334"/>
        <item x="224"/>
        <item x="282"/>
        <item x="74"/>
        <item x="135"/>
        <item x="280"/>
        <item x="168"/>
        <item x="249"/>
        <item x="397"/>
        <item x="403"/>
        <item x="188"/>
        <item x="412"/>
        <item x="404"/>
        <item x="283"/>
        <item x="358"/>
        <item x="24"/>
        <item x="292"/>
        <item x="384"/>
        <item x="152"/>
        <item x="378"/>
        <item x="125"/>
        <item x="311"/>
        <item x="266"/>
        <item x="54"/>
        <item x="331"/>
        <item x="61"/>
        <item x="62"/>
        <item x="407"/>
        <item x="51"/>
        <item x="7"/>
        <item x="398"/>
        <item x="79"/>
        <item x="47"/>
        <item x="439"/>
        <item x="48"/>
        <item x="95"/>
        <item x="427"/>
        <item x="321"/>
        <item x="179"/>
        <item x="426"/>
        <item x="355"/>
        <item x="268"/>
        <item x="187"/>
        <item x="264"/>
        <item x="81"/>
        <item x="381"/>
        <item x="411"/>
        <item x="25"/>
        <item x="140"/>
        <item x="219"/>
        <item x="65"/>
        <item x="167"/>
        <item x="220"/>
        <item x="250"/>
        <item x="101"/>
        <item x="15"/>
        <item x="349"/>
        <item x="164"/>
        <item x="174"/>
        <item x="301"/>
        <item x="323"/>
        <item x="27"/>
        <item x="303"/>
        <item x="70"/>
        <item x="402"/>
        <item x="222"/>
        <item x="31"/>
        <item x="348"/>
        <item x="351"/>
        <item x="242"/>
        <item x="80"/>
        <item x="23"/>
        <item x="122"/>
        <item x="146"/>
        <item x="431"/>
        <item x="279"/>
        <item x="324"/>
        <item x="162"/>
        <item x="416"/>
        <item x="10"/>
        <item x="382"/>
        <item x="252"/>
        <item x="20"/>
        <item x="388"/>
        <item x="208"/>
        <item x="285"/>
        <item x="329"/>
        <item x="178"/>
        <item x="136"/>
        <item x="213"/>
        <item x="0"/>
        <item x="440"/>
        <item x="430"/>
        <item x="156"/>
        <item x="325"/>
        <item x="289"/>
        <item x="207"/>
        <item x="267"/>
        <item x="14"/>
        <item x="33"/>
        <item x="262"/>
        <item x="182"/>
        <item x="161"/>
        <item x="87"/>
        <item x="299"/>
        <item x="419"/>
        <item x="259"/>
        <item x="429"/>
        <item x="248"/>
        <item x="6"/>
        <item x="394"/>
        <item x="231"/>
        <item x="385"/>
        <item x="422"/>
        <item x="205"/>
        <item x="413"/>
        <item x="121"/>
        <item x="196"/>
        <item x="350"/>
        <item x="258"/>
        <item x="212"/>
        <item x="353"/>
        <item x="1"/>
        <item x="9"/>
        <item x="441"/>
        <item x="360"/>
        <item x="345"/>
        <item x="106"/>
        <item x="373"/>
        <item x="270"/>
        <item x="104"/>
        <item x="395"/>
        <item x="396"/>
        <item x="415"/>
        <item x="408"/>
        <item x="30"/>
        <item x="165"/>
        <item x="336"/>
        <item x="37"/>
        <item x="134"/>
        <item x="391"/>
        <item x="119"/>
        <item x="389"/>
        <item x="189"/>
        <item x="420"/>
        <item x="251"/>
        <item x="425"/>
        <item x="41"/>
        <item x="204"/>
        <item x="359"/>
        <item x="409"/>
        <item x="99"/>
        <item x="45"/>
        <item x="8"/>
        <item x="183"/>
        <item x="221"/>
        <item x="78"/>
        <item x="3"/>
        <item x="226"/>
        <item x="92"/>
        <item x="11"/>
        <item x="424"/>
        <item x="144"/>
        <item x="257"/>
        <item x="342"/>
        <item x="193"/>
        <item x="218"/>
        <item x="86"/>
        <item x="52"/>
        <item x="383"/>
        <item x="284"/>
        <item x="60"/>
        <item x="145"/>
        <item x="370"/>
        <item x="59"/>
        <item x="63"/>
        <item x="278"/>
        <item x="166"/>
        <item x="26"/>
        <item x="109"/>
        <item x="225"/>
        <item x="111"/>
        <item x="55"/>
        <item x="294"/>
        <item x="148"/>
        <item x="39"/>
        <item x="97"/>
        <item x="401"/>
        <item x="50"/>
        <item x="410"/>
        <item x="405"/>
        <item x="186"/>
        <item x="286"/>
        <item x="118"/>
        <item x="296"/>
        <item x="261"/>
        <item x="103"/>
        <item x="400"/>
        <item x="131"/>
        <item x="275"/>
        <item x="347"/>
        <item x="90"/>
        <item x="159"/>
        <item x="319"/>
        <item x="123"/>
        <item x="377"/>
        <item x="147"/>
        <item x="22"/>
        <item x="375"/>
        <item x="83"/>
        <item x="4"/>
        <item x="108"/>
        <item x="32"/>
        <item x="238"/>
        <item x="21"/>
        <item x="376"/>
        <item x="318"/>
        <item x="346"/>
        <item x="64"/>
        <item x="291"/>
        <item x="300"/>
        <item x="288"/>
        <item x="42"/>
        <item x="320"/>
        <item x="77"/>
        <item x="304"/>
        <item x="380"/>
        <item x="315"/>
        <item x="339"/>
        <item x="191"/>
        <item x="436"/>
        <item x="210"/>
        <item x="75"/>
        <item x="117"/>
        <item x="154"/>
        <item x="16"/>
        <item x="138"/>
        <item x="314"/>
        <item x="341"/>
        <item x="386"/>
        <item x="333"/>
        <item x="82"/>
        <item x="234"/>
        <item x="273"/>
        <item x="202"/>
        <item x="107"/>
        <item x="194"/>
        <item x="180"/>
        <item x="126"/>
        <item x="327"/>
        <item x="160"/>
        <item x="195"/>
        <item x="198"/>
        <item x="181"/>
        <item x="38"/>
        <item x="434"/>
        <item x="150"/>
        <item x="277"/>
        <item x="337"/>
        <item x="71"/>
        <item x="438"/>
        <item x="17"/>
        <item x="149"/>
        <item x="173"/>
        <item x="153"/>
        <item x="406"/>
        <item x="421"/>
        <item x="228"/>
        <item x="57"/>
        <item x="67"/>
        <item x="437"/>
        <item x="364"/>
        <item x="100"/>
        <item x="393"/>
        <item x="43"/>
        <item x="69"/>
        <item x="36"/>
        <item x="281"/>
        <item x="256"/>
        <item x="132"/>
        <item x="58"/>
        <item x="151"/>
        <item x="356"/>
        <item x="240"/>
        <item x="68"/>
        <item x="244"/>
        <item x="313"/>
        <item x="143"/>
        <item x="5"/>
        <item x="309"/>
        <item x="433"/>
        <item x="216"/>
        <item x="116"/>
        <item x="175"/>
        <item x="141"/>
        <item x="293"/>
        <item x="53"/>
        <item x="113"/>
        <item x="233"/>
        <item x="236"/>
        <item x="56"/>
        <item x="139"/>
        <item x="49"/>
        <item x="35"/>
        <item x="237"/>
        <item x="158"/>
        <item x="269"/>
        <item x="316"/>
        <item x="272"/>
        <item x="276"/>
        <item x="34"/>
        <item x="133"/>
        <item x="390"/>
        <item x="127"/>
        <item x="2"/>
        <item x="172"/>
        <item x="157"/>
        <item x="308"/>
        <item x="352"/>
        <item x="428"/>
        <item x="85"/>
        <item x="115"/>
        <item x="392"/>
        <item x="332"/>
        <item x="246"/>
        <item x="84"/>
        <item x="361"/>
        <item x="40"/>
        <item x="297"/>
        <item x="176"/>
        <item x="19"/>
        <item x="263"/>
        <item x="232"/>
        <item x="214"/>
        <item x="128"/>
        <item x="12"/>
        <item x="322"/>
        <item x="155"/>
        <item x="306"/>
        <item x="271"/>
        <item x="217"/>
        <item x="379"/>
        <item x="374"/>
        <item x="66"/>
        <item x="199"/>
        <item x="215"/>
        <item x="310"/>
        <item x="435"/>
        <item x="260"/>
        <item x="312"/>
        <item x="414"/>
        <item x="255"/>
        <item x="229"/>
        <item x="114"/>
        <item x="326"/>
        <item x="265"/>
        <item x="343"/>
        <item x="302"/>
        <item x="72"/>
        <item x="29"/>
        <item x="442"/>
        <item x="287"/>
        <item x="18"/>
        <item x="298"/>
        <item x="247"/>
        <item x="130"/>
        <item x="254"/>
        <item x="274"/>
        <item x="368"/>
        <item x="417"/>
        <item x="307"/>
        <item x="13"/>
        <item x="354"/>
        <item x="177"/>
        <item x="142"/>
        <item x="46"/>
        <item x="89"/>
        <item x="124"/>
        <item x="245"/>
        <item x="190"/>
        <item x="362"/>
        <item x="209"/>
        <item x="37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6"/>
  </rowFields>
  <rowItems count="11">
    <i>
      <x v="242"/>
    </i>
    <i>
      <x v="323"/>
    </i>
    <i>
      <x v="171"/>
    </i>
    <i>
      <x v="104"/>
    </i>
    <i>
      <x v="255"/>
    </i>
    <i>
      <x v="182"/>
    </i>
    <i>
      <x v="38"/>
    </i>
    <i>
      <x v="208"/>
    </i>
    <i>
      <x v="442"/>
    </i>
    <i>
      <x v="45"/>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A9636F-0BE3-4660-9E45-5F67A6407AE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4:B49" firstHeaderRow="1" firstDataRow="1" firstDataCol="1"/>
  <pivotFields count="11">
    <pivotField showAll="0"/>
    <pivotField showAll="0"/>
    <pivotField showAll="0"/>
    <pivotField axis="axisRow" showAll="0">
      <items count="6">
        <item x="2"/>
        <item x="0"/>
        <item x="3"/>
        <item x="1"/>
        <item h="1" x="4"/>
        <item t="default"/>
      </items>
    </pivotField>
    <pivotField showAll="0"/>
    <pivotField showAll="0"/>
    <pivotField showAll="0"/>
    <pivotField showAll="0"/>
    <pivotField showAll="0"/>
    <pivotField showAll="0"/>
    <pivotField dataField="1" showAll="0"/>
  </pivotFields>
  <rowFields count="1">
    <field x="3"/>
  </rowFields>
  <rowItems count="5">
    <i>
      <x/>
    </i>
    <i>
      <x v="1"/>
    </i>
    <i>
      <x v="2"/>
    </i>
    <i>
      <x v="3"/>
    </i>
    <i t="grand">
      <x/>
    </i>
  </rowItems>
  <colItems count="1">
    <i/>
  </colItems>
  <dataFields count="1">
    <dataField name="Sum of Profi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DD5117-B111-43C6-8F32-31EFE67C03DF}"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6" firstHeaderRow="1" firstDataRow="1" firstDataCol="1"/>
  <pivotFields count="11">
    <pivotField showAll="0"/>
    <pivotField showAll="0"/>
    <pivotField showAll="0"/>
    <pivotField showAll="0"/>
    <pivotField showAll="0"/>
    <pivotField axis="axisRow" showAll="0">
      <items count="5">
        <item x="1"/>
        <item x="2"/>
        <item x="0"/>
        <item h="1" x="3"/>
        <item t="default"/>
      </items>
    </pivotField>
    <pivotField showAll="0"/>
    <pivotField dataField="1" showAll="0">
      <items count="476">
        <item x="459"/>
        <item x="469"/>
        <item x="201"/>
        <item x="291"/>
        <item x="429"/>
        <item x="155"/>
        <item x="455"/>
        <item x="407"/>
        <item x="49"/>
        <item x="27"/>
        <item x="367"/>
        <item x="462"/>
        <item x="116"/>
        <item x="237"/>
        <item x="418"/>
        <item x="136"/>
        <item x="333"/>
        <item x="262"/>
        <item x="288"/>
        <item x="176"/>
        <item x="17"/>
        <item x="137"/>
        <item x="438"/>
        <item x="434"/>
        <item x="397"/>
        <item x="339"/>
        <item x="447"/>
        <item x="121"/>
        <item x="153"/>
        <item x="452"/>
        <item x="359"/>
        <item x="158"/>
        <item x="457"/>
        <item x="368"/>
        <item x="38"/>
        <item x="298"/>
        <item x="64"/>
        <item x="106"/>
        <item x="258"/>
        <item x="183"/>
        <item x="112"/>
        <item x="365"/>
        <item x="235"/>
        <item x="420"/>
        <item x="77"/>
        <item x="21"/>
        <item x="279"/>
        <item x="63"/>
        <item x="194"/>
        <item x="266"/>
        <item x="40"/>
        <item x="50"/>
        <item x="388"/>
        <item x="249"/>
        <item x="66"/>
        <item x="123"/>
        <item x="312"/>
        <item x="449"/>
        <item x="53"/>
        <item x="390"/>
        <item x="318"/>
        <item x="13"/>
        <item x="416"/>
        <item x="325"/>
        <item x="460"/>
        <item x="42"/>
        <item x="56"/>
        <item x="375"/>
        <item x="313"/>
        <item x="154"/>
        <item x="15"/>
        <item x="261"/>
        <item x="223"/>
        <item x="285"/>
        <item x="425"/>
        <item x="125"/>
        <item x="212"/>
        <item x="393"/>
        <item x="146"/>
        <item x="132"/>
        <item x="349"/>
        <item x="130"/>
        <item x="139"/>
        <item x="198"/>
        <item x="206"/>
        <item x="165"/>
        <item x="54"/>
        <item x="255"/>
        <item x="257"/>
        <item x="319"/>
        <item x="174"/>
        <item x="91"/>
        <item x="421"/>
        <item x="403"/>
        <item x="346"/>
        <item x="366"/>
        <item x="463"/>
        <item x="231"/>
        <item x="250"/>
        <item x="221"/>
        <item x="379"/>
        <item x="32"/>
        <item x="341"/>
        <item x="191"/>
        <item x="23"/>
        <item x="400"/>
        <item x="320"/>
        <item x="190"/>
        <item x="396"/>
        <item x="246"/>
        <item x="160"/>
        <item x="97"/>
        <item x="371"/>
        <item x="283"/>
        <item x="259"/>
        <item x="181"/>
        <item x="384"/>
        <item x="377"/>
        <item x="357"/>
        <item x="446"/>
        <item x="92"/>
        <item x="28"/>
        <item x="55"/>
        <item x="473"/>
        <item x="311"/>
        <item x="306"/>
        <item x="157"/>
        <item x="217"/>
        <item x="405"/>
        <item x="159"/>
        <item x="68"/>
        <item x="278"/>
        <item x="307"/>
        <item x="184"/>
        <item x="141"/>
        <item x="124"/>
        <item x="240"/>
        <item x="18"/>
        <item x="236"/>
        <item x="87"/>
        <item x="343"/>
        <item x="133"/>
        <item x="47"/>
        <item x="140"/>
        <item x="323"/>
        <item x="163"/>
        <item x="234"/>
        <item x="12"/>
        <item x="205"/>
        <item x="332"/>
        <item x="326"/>
        <item x="276"/>
        <item x="186"/>
        <item x="80"/>
        <item x="316"/>
        <item x="352"/>
        <item x="199"/>
        <item x="302"/>
        <item x="169"/>
        <item x="34"/>
        <item x="128"/>
        <item x="340"/>
        <item x="286"/>
        <item x="60"/>
        <item x="196"/>
        <item x="337"/>
        <item x="148"/>
        <item x="251"/>
        <item x="303"/>
        <item x="338"/>
        <item x="260"/>
        <item x="330"/>
        <item x="177"/>
        <item x="241"/>
        <item x="424"/>
        <item x="465"/>
        <item x="282"/>
        <item x="445"/>
        <item x="104"/>
        <item x="76"/>
        <item x="308"/>
        <item x="16"/>
        <item x="275"/>
        <item x="120"/>
        <item x="361"/>
        <item x="265"/>
        <item x="86"/>
        <item x="305"/>
        <item x="6"/>
        <item x="220"/>
        <item x="315"/>
        <item x="168"/>
        <item x="360"/>
        <item x="45"/>
        <item x="382"/>
        <item x="200"/>
        <item x="20"/>
        <item x="238"/>
        <item x="245"/>
        <item x="381"/>
        <item x="244"/>
        <item x="101"/>
        <item x="95"/>
        <item x="347"/>
        <item x="383"/>
        <item x="147"/>
        <item x="310"/>
        <item x="427"/>
        <item x="442"/>
        <item x="113"/>
        <item x="150"/>
        <item x="89"/>
        <item x="327"/>
        <item x="336"/>
        <item x="253"/>
        <item x="466"/>
        <item x="180"/>
        <item x="117"/>
        <item x="299"/>
        <item x="342"/>
        <item x="471"/>
        <item x="247"/>
        <item x="73"/>
        <item x="143"/>
        <item x="164"/>
        <item x="51"/>
        <item x="289"/>
        <item x="264"/>
        <item x="458"/>
        <item x="172"/>
        <item x="406"/>
        <item x="229"/>
        <item x="0"/>
        <item x="114"/>
        <item x="52"/>
        <item x="214"/>
        <item x="470"/>
        <item x="94"/>
        <item x="35"/>
        <item x="161"/>
        <item x="411"/>
        <item x="182"/>
        <item x="331"/>
        <item x="105"/>
        <item x="309"/>
        <item x="222"/>
        <item x="233"/>
        <item x="263"/>
        <item x="254"/>
        <item x="167"/>
        <item x="188"/>
        <item x="472"/>
        <item x="11"/>
        <item x="135"/>
        <item x="151"/>
        <item x="268"/>
        <item x="119"/>
        <item x="439"/>
        <item x="426"/>
        <item x="189"/>
        <item x="344"/>
        <item x="433"/>
        <item x="419"/>
        <item x="193"/>
        <item x="31"/>
        <item x="408"/>
        <item x="145"/>
        <item x="107"/>
        <item x="224"/>
        <item x="215"/>
        <item x="348"/>
        <item x="72"/>
        <item x="242"/>
        <item x="5"/>
        <item x="304"/>
        <item x="74"/>
        <item x="350"/>
        <item x="173"/>
        <item x="335"/>
        <item x="290"/>
        <item x="376"/>
        <item x="410"/>
        <item x="467"/>
        <item x="81"/>
        <item x="297"/>
        <item x="444"/>
        <item x="423"/>
        <item x="99"/>
        <item x="280"/>
        <item x="131"/>
        <item x="118"/>
        <item x="29"/>
        <item x="108"/>
        <item x="329"/>
        <item x="24"/>
        <item x="171"/>
        <item x="226"/>
        <item x="417"/>
        <item x="387"/>
        <item x="19"/>
        <item x="179"/>
        <item x="345"/>
        <item x="82"/>
        <item x="355"/>
        <item x="126"/>
        <item x="314"/>
        <item x="62"/>
        <item x="134"/>
        <item x="334"/>
        <item x="79"/>
        <item x="209"/>
        <item x="412"/>
        <item x="292"/>
        <item x="294"/>
        <item x="39"/>
        <item x="413"/>
        <item x="300"/>
        <item x="44"/>
        <item x="4"/>
        <item x="211"/>
        <item x="36"/>
        <item x="287"/>
        <item x="61"/>
        <item x="90"/>
        <item x="321"/>
        <item x="187"/>
        <item x="436"/>
        <item x="435"/>
        <item x="219"/>
        <item x="203"/>
        <item x="213"/>
        <item x="65"/>
        <item x="149"/>
        <item x="293"/>
        <item x="369"/>
        <item x="374"/>
        <item x="230"/>
        <item x="195"/>
        <item x="152"/>
        <item x="37"/>
        <item x="110"/>
        <item x="431"/>
        <item x="67"/>
        <item x="10"/>
        <item x="48"/>
        <item x="468"/>
        <item x="378"/>
        <item x="70"/>
        <item x="170"/>
        <item x="9"/>
        <item x="461"/>
        <item x="450"/>
        <item x="440"/>
        <item x="422"/>
        <item x="127"/>
        <item x="228"/>
        <item x="216"/>
        <item x="456"/>
        <item x="394"/>
        <item x="398"/>
        <item x="296"/>
        <item x="202"/>
        <item x="401"/>
        <item x="227"/>
        <item x="192"/>
        <item x="453"/>
        <item x="273"/>
        <item x="301"/>
        <item x="58"/>
        <item x="84"/>
        <item x="354"/>
        <item x="362"/>
        <item x="364"/>
        <item x="7"/>
        <item x="441"/>
        <item x="437"/>
        <item x="8"/>
        <item x="351"/>
        <item x="243"/>
        <item x="356"/>
        <item x="271"/>
        <item x="197"/>
        <item x="277"/>
        <item x="225"/>
        <item x="122"/>
        <item x="30"/>
        <item x="69"/>
        <item x="85"/>
        <item x="269"/>
        <item x="111"/>
        <item x="432"/>
        <item x="272"/>
        <item x="208"/>
        <item x="248"/>
        <item x="414"/>
        <item x="402"/>
        <item x="295"/>
        <item x="88"/>
        <item x="284"/>
        <item x="317"/>
        <item x="14"/>
        <item x="142"/>
        <item x="1"/>
        <item x="256"/>
        <item x="391"/>
        <item x="162"/>
        <item x="115"/>
        <item x="358"/>
        <item x="78"/>
        <item x="33"/>
        <item x="353"/>
        <item x="109"/>
        <item x="399"/>
        <item x="392"/>
        <item x="454"/>
        <item x="451"/>
        <item x="156"/>
        <item x="96"/>
        <item x="372"/>
        <item x="428"/>
        <item x="363"/>
        <item x="2"/>
        <item x="103"/>
        <item x="41"/>
        <item x="71"/>
        <item x="166"/>
        <item x="232"/>
        <item x="380"/>
        <item x="274"/>
        <item x="448"/>
        <item x="443"/>
        <item x="102"/>
        <item x="409"/>
        <item x="370"/>
        <item x="373"/>
        <item x="93"/>
        <item x="100"/>
        <item x="22"/>
        <item x="26"/>
        <item x="207"/>
        <item x="404"/>
        <item x="138"/>
        <item x="204"/>
        <item x="324"/>
        <item x="270"/>
        <item x="389"/>
        <item x="175"/>
        <item x="129"/>
        <item x="281"/>
        <item x="98"/>
        <item x="252"/>
        <item x="218"/>
        <item x="3"/>
        <item x="430"/>
        <item x="144"/>
        <item x="322"/>
        <item x="185"/>
        <item x="328"/>
        <item x="464"/>
        <item x="46"/>
        <item x="25"/>
        <item x="59"/>
        <item x="395"/>
        <item x="210"/>
        <item x="43"/>
        <item x="178"/>
        <item x="386"/>
        <item x="75"/>
        <item x="385"/>
        <item x="415"/>
        <item x="267"/>
        <item x="83"/>
        <item x="239"/>
        <item x="57"/>
        <item x="474"/>
        <item t="default"/>
      </items>
    </pivotField>
    <pivotField showAll="0"/>
    <pivotField showAll="0"/>
    <pivotField showAll="0"/>
  </pivotFields>
  <rowFields count="1">
    <field x="5"/>
  </rowFields>
  <rowItems count="4">
    <i>
      <x/>
    </i>
    <i>
      <x v="1"/>
    </i>
    <i>
      <x v="2"/>
    </i>
    <i t="grand">
      <x/>
    </i>
  </rowItems>
  <colItems count="1">
    <i/>
  </colItems>
  <dataFields count="1">
    <dataField name="Sum of Sales" fld="7"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51745E-942B-4221-9EB1-77741F785BD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5:B119" firstHeaderRow="1" firstDataRow="1" firstDataCol="1"/>
  <pivotFields count="11">
    <pivotField showAll="0"/>
    <pivotField showAll="0"/>
    <pivotField axis="axisRow" showAll="0" sortType="ascending">
      <items count="14">
        <item x="11"/>
        <item x="10"/>
        <item x="1"/>
        <item x="7"/>
        <item x="9"/>
        <item x="5"/>
        <item x="8"/>
        <item x="6"/>
        <item x="0"/>
        <item x="4"/>
        <item x="2"/>
        <item x="3"/>
        <item x="12"/>
        <item t="default"/>
      </items>
    </pivotField>
    <pivotField showAll="0"/>
    <pivotField showAll="0"/>
    <pivotField showAll="0"/>
    <pivotField showAll="0"/>
    <pivotField dataField="1" showAll="0">
      <items count="476">
        <item x="459"/>
        <item x="469"/>
        <item x="201"/>
        <item x="291"/>
        <item x="429"/>
        <item x="155"/>
        <item x="455"/>
        <item x="407"/>
        <item x="49"/>
        <item x="27"/>
        <item x="367"/>
        <item x="462"/>
        <item x="116"/>
        <item x="237"/>
        <item x="418"/>
        <item x="136"/>
        <item x="333"/>
        <item x="262"/>
        <item x="288"/>
        <item x="176"/>
        <item x="17"/>
        <item x="137"/>
        <item x="438"/>
        <item x="434"/>
        <item x="397"/>
        <item x="339"/>
        <item x="447"/>
        <item x="121"/>
        <item x="153"/>
        <item x="452"/>
        <item x="359"/>
        <item x="158"/>
        <item x="457"/>
        <item x="368"/>
        <item x="38"/>
        <item x="298"/>
        <item x="64"/>
        <item x="106"/>
        <item x="258"/>
        <item x="183"/>
        <item x="112"/>
        <item x="365"/>
        <item x="235"/>
        <item x="420"/>
        <item x="77"/>
        <item x="21"/>
        <item x="279"/>
        <item x="63"/>
        <item x="194"/>
        <item x="266"/>
        <item x="40"/>
        <item x="50"/>
        <item x="388"/>
        <item x="249"/>
        <item x="66"/>
        <item x="123"/>
        <item x="312"/>
        <item x="449"/>
        <item x="53"/>
        <item x="390"/>
        <item x="318"/>
        <item x="13"/>
        <item x="416"/>
        <item x="325"/>
        <item x="460"/>
        <item x="42"/>
        <item x="56"/>
        <item x="375"/>
        <item x="313"/>
        <item x="154"/>
        <item x="15"/>
        <item x="261"/>
        <item x="223"/>
        <item x="285"/>
        <item x="425"/>
        <item x="125"/>
        <item x="212"/>
        <item x="393"/>
        <item x="146"/>
        <item x="132"/>
        <item x="349"/>
        <item x="130"/>
        <item x="139"/>
        <item x="198"/>
        <item x="206"/>
        <item x="165"/>
        <item x="54"/>
        <item x="255"/>
        <item x="257"/>
        <item x="319"/>
        <item x="174"/>
        <item x="91"/>
        <item x="421"/>
        <item x="403"/>
        <item x="346"/>
        <item x="366"/>
        <item x="463"/>
        <item x="231"/>
        <item x="250"/>
        <item x="221"/>
        <item x="379"/>
        <item x="32"/>
        <item x="341"/>
        <item x="191"/>
        <item x="23"/>
        <item x="400"/>
        <item x="320"/>
        <item x="190"/>
        <item x="396"/>
        <item x="246"/>
        <item x="160"/>
        <item x="97"/>
        <item x="371"/>
        <item x="283"/>
        <item x="259"/>
        <item x="181"/>
        <item x="384"/>
        <item x="377"/>
        <item x="357"/>
        <item x="446"/>
        <item x="92"/>
        <item x="28"/>
        <item x="55"/>
        <item x="473"/>
        <item x="311"/>
        <item x="306"/>
        <item x="157"/>
        <item x="217"/>
        <item x="405"/>
        <item x="159"/>
        <item x="68"/>
        <item x="278"/>
        <item x="307"/>
        <item x="184"/>
        <item x="141"/>
        <item x="124"/>
        <item x="240"/>
        <item x="18"/>
        <item x="236"/>
        <item x="87"/>
        <item x="343"/>
        <item x="133"/>
        <item x="47"/>
        <item x="140"/>
        <item x="323"/>
        <item x="163"/>
        <item x="234"/>
        <item x="12"/>
        <item x="205"/>
        <item x="332"/>
        <item x="326"/>
        <item x="276"/>
        <item x="186"/>
        <item x="80"/>
        <item x="316"/>
        <item x="352"/>
        <item x="199"/>
        <item x="302"/>
        <item x="169"/>
        <item x="34"/>
        <item x="128"/>
        <item x="340"/>
        <item x="286"/>
        <item x="60"/>
        <item x="196"/>
        <item x="337"/>
        <item x="148"/>
        <item x="251"/>
        <item x="303"/>
        <item x="338"/>
        <item x="260"/>
        <item x="330"/>
        <item x="177"/>
        <item x="241"/>
        <item x="424"/>
        <item x="465"/>
        <item x="282"/>
        <item x="445"/>
        <item x="104"/>
        <item x="76"/>
        <item x="308"/>
        <item x="16"/>
        <item x="275"/>
        <item x="120"/>
        <item x="361"/>
        <item x="265"/>
        <item x="86"/>
        <item x="305"/>
        <item x="6"/>
        <item x="220"/>
        <item x="315"/>
        <item x="168"/>
        <item x="360"/>
        <item x="45"/>
        <item x="382"/>
        <item x="200"/>
        <item x="20"/>
        <item x="238"/>
        <item x="245"/>
        <item x="381"/>
        <item x="244"/>
        <item x="101"/>
        <item x="95"/>
        <item x="347"/>
        <item x="383"/>
        <item x="147"/>
        <item x="310"/>
        <item x="427"/>
        <item x="442"/>
        <item x="113"/>
        <item x="150"/>
        <item x="89"/>
        <item x="327"/>
        <item x="336"/>
        <item x="253"/>
        <item x="466"/>
        <item x="180"/>
        <item x="117"/>
        <item x="299"/>
        <item x="342"/>
        <item x="471"/>
        <item x="247"/>
        <item x="73"/>
        <item x="143"/>
        <item x="164"/>
        <item x="51"/>
        <item x="289"/>
        <item x="264"/>
        <item x="458"/>
        <item x="172"/>
        <item x="406"/>
        <item x="229"/>
        <item x="0"/>
        <item x="114"/>
        <item x="52"/>
        <item x="214"/>
        <item x="470"/>
        <item x="94"/>
        <item x="35"/>
        <item x="161"/>
        <item x="411"/>
        <item x="182"/>
        <item x="331"/>
        <item x="105"/>
        <item x="309"/>
        <item x="222"/>
        <item x="233"/>
        <item x="263"/>
        <item x="254"/>
        <item x="167"/>
        <item x="188"/>
        <item x="472"/>
        <item x="11"/>
        <item x="135"/>
        <item x="151"/>
        <item x="268"/>
        <item x="119"/>
        <item x="439"/>
        <item x="426"/>
        <item x="189"/>
        <item x="344"/>
        <item x="433"/>
        <item x="419"/>
        <item x="193"/>
        <item x="31"/>
        <item x="408"/>
        <item x="145"/>
        <item x="107"/>
        <item x="224"/>
        <item x="215"/>
        <item x="348"/>
        <item x="72"/>
        <item x="242"/>
        <item x="5"/>
        <item x="304"/>
        <item x="74"/>
        <item x="350"/>
        <item x="173"/>
        <item x="335"/>
        <item x="290"/>
        <item x="376"/>
        <item x="410"/>
        <item x="467"/>
        <item x="81"/>
        <item x="297"/>
        <item x="444"/>
        <item x="423"/>
        <item x="99"/>
        <item x="280"/>
        <item x="131"/>
        <item x="118"/>
        <item x="29"/>
        <item x="108"/>
        <item x="329"/>
        <item x="24"/>
        <item x="171"/>
        <item x="226"/>
        <item x="417"/>
        <item x="387"/>
        <item x="19"/>
        <item x="179"/>
        <item x="345"/>
        <item x="82"/>
        <item x="355"/>
        <item x="126"/>
        <item x="314"/>
        <item x="62"/>
        <item x="134"/>
        <item x="334"/>
        <item x="79"/>
        <item x="209"/>
        <item x="412"/>
        <item x="292"/>
        <item x="294"/>
        <item x="39"/>
        <item x="413"/>
        <item x="300"/>
        <item x="44"/>
        <item x="4"/>
        <item x="211"/>
        <item x="36"/>
        <item x="287"/>
        <item x="61"/>
        <item x="90"/>
        <item x="321"/>
        <item x="187"/>
        <item x="436"/>
        <item x="435"/>
        <item x="219"/>
        <item x="203"/>
        <item x="213"/>
        <item x="65"/>
        <item x="149"/>
        <item x="293"/>
        <item x="369"/>
        <item x="374"/>
        <item x="230"/>
        <item x="195"/>
        <item x="152"/>
        <item x="37"/>
        <item x="110"/>
        <item x="431"/>
        <item x="67"/>
        <item x="10"/>
        <item x="48"/>
        <item x="468"/>
        <item x="378"/>
        <item x="70"/>
        <item x="170"/>
        <item x="9"/>
        <item x="461"/>
        <item x="450"/>
        <item x="440"/>
        <item x="422"/>
        <item x="127"/>
        <item x="228"/>
        <item x="216"/>
        <item x="456"/>
        <item x="394"/>
        <item x="398"/>
        <item x="296"/>
        <item x="202"/>
        <item x="401"/>
        <item x="227"/>
        <item x="192"/>
        <item x="453"/>
        <item x="273"/>
        <item x="301"/>
        <item x="58"/>
        <item x="84"/>
        <item x="354"/>
        <item x="362"/>
        <item x="364"/>
        <item x="7"/>
        <item x="441"/>
        <item x="437"/>
        <item x="8"/>
        <item x="351"/>
        <item x="243"/>
        <item x="356"/>
        <item x="271"/>
        <item x="197"/>
        <item x="277"/>
        <item x="225"/>
        <item x="122"/>
        <item x="30"/>
        <item x="69"/>
        <item x="85"/>
        <item x="269"/>
        <item x="111"/>
        <item x="432"/>
        <item x="272"/>
        <item x="208"/>
        <item x="248"/>
        <item x="414"/>
        <item x="402"/>
        <item x="295"/>
        <item x="88"/>
        <item x="284"/>
        <item x="317"/>
        <item x="14"/>
        <item x="142"/>
        <item x="1"/>
        <item x="256"/>
        <item x="391"/>
        <item x="162"/>
        <item x="115"/>
        <item x="358"/>
        <item x="78"/>
        <item x="33"/>
        <item x="353"/>
        <item x="109"/>
        <item x="399"/>
        <item x="392"/>
        <item x="454"/>
        <item x="451"/>
        <item x="156"/>
        <item x="96"/>
        <item x="372"/>
        <item x="428"/>
        <item x="363"/>
        <item x="2"/>
        <item x="103"/>
        <item x="41"/>
        <item x="71"/>
        <item x="166"/>
        <item x="232"/>
        <item x="380"/>
        <item x="274"/>
        <item x="448"/>
        <item x="443"/>
        <item x="102"/>
        <item x="409"/>
        <item x="370"/>
        <item x="373"/>
        <item x="93"/>
        <item x="100"/>
        <item x="22"/>
        <item x="26"/>
        <item x="207"/>
        <item x="404"/>
        <item x="138"/>
        <item x="204"/>
        <item x="324"/>
        <item x="270"/>
        <item x="389"/>
        <item x="175"/>
        <item x="129"/>
        <item x="281"/>
        <item x="98"/>
        <item x="252"/>
        <item x="218"/>
        <item x="3"/>
        <item x="430"/>
        <item x="144"/>
        <item x="322"/>
        <item x="185"/>
        <item x="328"/>
        <item x="464"/>
        <item x="46"/>
        <item x="25"/>
        <item x="59"/>
        <item x="395"/>
        <item x="210"/>
        <item x="43"/>
        <item x="178"/>
        <item x="386"/>
        <item x="75"/>
        <item x="385"/>
        <item x="415"/>
        <item x="267"/>
        <item x="83"/>
        <item x="239"/>
        <item x="57"/>
        <item x="474"/>
        <item t="default"/>
      </items>
    </pivotField>
    <pivotField showAll="0"/>
    <pivotField showAll="0"/>
    <pivotField showAll="0"/>
  </pivotFields>
  <rowFields count="1">
    <field x="2"/>
  </rowFields>
  <rowItems count="14">
    <i>
      <x/>
    </i>
    <i>
      <x v="1"/>
    </i>
    <i>
      <x v="2"/>
    </i>
    <i>
      <x v="3"/>
    </i>
    <i>
      <x v="4"/>
    </i>
    <i>
      <x v="5"/>
    </i>
    <i>
      <x v="6"/>
    </i>
    <i>
      <x v="7"/>
    </i>
    <i>
      <x v="8"/>
    </i>
    <i>
      <x v="9"/>
    </i>
    <i>
      <x v="10"/>
    </i>
    <i>
      <x v="11"/>
    </i>
    <i>
      <x v="12"/>
    </i>
    <i t="grand">
      <x/>
    </i>
  </rowItems>
  <colItems count="1">
    <i/>
  </colItems>
  <dataFields count="1">
    <dataField name="Sum of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CB998E-671E-4802-8CBA-E37AD4094838}" sourceName="Category">
  <pivotTables>
    <pivotTable tabId="3" name="PivotTable2"/>
  </pivotTables>
  <data>
    <tabular pivotCacheId="2145523690">
      <items count="4">
        <i x="1" s="1"/>
        <i x="2" s="1"/>
        <i x="0"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2AD3A1AE-8D0F-4970-8262-AB95BA06ACBB}" sourceName="Sales">
  <pivotTables>
    <pivotTable tabId="3" name="PivotTable2"/>
  </pivotTables>
  <data>
    <tabular pivotCacheId="2145523690">
      <items count="475">
        <i x="459" s="1"/>
        <i x="469" s="1"/>
        <i x="201" s="1"/>
        <i x="291" s="1"/>
        <i x="429" s="1"/>
        <i x="155" s="1"/>
        <i x="455" s="1"/>
        <i x="407" s="1"/>
        <i x="49" s="1"/>
        <i x="27" s="1"/>
        <i x="367" s="1"/>
        <i x="462" s="1"/>
        <i x="116" s="1"/>
        <i x="237" s="1"/>
        <i x="418" s="1"/>
        <i x="136" s="1"/>
        <i x="333" s="1"/>
        <i x="262" s="1"/>
        <i x="288" s="1"/>
        <i x="176" s="1"/>
        <i x="17" s="1"/>
        <i x="137" s="1"/>
        <i x="438" s="1"/>
        <i x="434" s="1"/>
        <i x="397" s="1"/>
        <i x="339" s="1"/>
        <i x="447" s="1"/>
        <i x="121" s="1"/>
        <i x="153" s="1"/>
        <i x="452" s="1"/>
        <i x="359" s="1"/>
        <i x="158" s="1"/>
        <i x="457" s="1"/>
        <i x="368" s="1"/>
        <i x="38" s="1"/>
        <i x="298" s="1"/>
        <i x="64" s="1"/>
        <i x="106" s="1"/>
        <i x="258" s="1"/>
        <i x="183" s="1"/>
        <i x="112" s="1"/>
        <i x="365" s="1"/>
        <i x="235" s="1"/>
        <i x="420" s="1"/>
        <i x="77" s="1"/>
        <i x="21" s="1"/>
        <i x="279" s="1"/>
        <i x="63" s="1"/>
        <i x="194" s="1"/>
        <i x="266" s="1"/>
        <i x="40" s="1"/>
        <i x="50" s="1"/>
        <i x="388" s="1"/>
        <i x="249" s="1"/>
        <i x="66" s="1"/>
        <i x="123" s="1"/>
        <i x="312" s="1"/>
        <i x="449" s="1"/>
        <i x="53" s="1"/>
        <i x="390" s="1"/>
        <i x="318" s="1"/>
        <i x="13" s="1"/>
        <i x="416" s="1"/>
        <i x="325" s="1"/>
        <i x="460" s="1"/>
        <i x="42" s="1"/>
        <i x="56" s="1"/>
        <i x="375" s="1"/>
        <i x="313" s="1"/>
        <i x="154" s="1"/>
        <i x="15" s="1"/>
        <i x="261" s="1"/>
        <i x="223" s="1"/>
        <i x="285" s="1"/>
        <i x="425" s="1"/>
        <i x="125" s="1"/>
        <i x="212" s="1"/>
        <i x="393" s="1"/>
        <i x="146" s="1"/>
        <i x="132" s="1"/>
        <i x="349" s="1"/>
        <i x="130" s="1"/>
        <i x="139" s="1"/>
        <i x="198" s="1"/>
        <i x="206" s="1"/>
        <i x="165" s="1"/>
        <i x="54" s="1"/>
        <i x="255" s="1"/>
        <i x="257" s="1"/>
        <i x="319" s="1"/>
        <i x="174" s="1"/>
        <i x="91" s="1"/>
        <i x="421" s="1"/>
        <i x="403" s="1"/>
        <i x="346" s="1"/>
        <i x="366" s="1"/>
        <i x="463" s="1"/>
        <i x="231" s="1"/>
        <i x="250" s="1"/>
        <i x="221" s="1"/>
        <i x="379" s="1"/>
        <i x="32" s="1"/>
        <i x="341" s="1"/>
        <i x="191" s="1"/>
        <i x="23" s="1"/>
        <i x="400" s="1"/>
        <i x="320" s="1"/>
        <i x="190" s="1"/>
        <i x="396" s="1"/>
        <i x="246" s="1"/>
        <i x="160" s="1"/>
        <i x="97" s="1"/>
        <i x="371" s="1"/>
        <i x="283" s="1"/>
        <i x="259" s="1"/>
        <i x="181" s="1"/>
        <i x="384" s="1"/>
        <i x="377" s="1"/>
        <i x="357" s="1"/>
        <i x="446" s="1"/>
        <i x="92" s="1"/>
        <i x="28" s="1"/>
        <i x="55" s="1"/>
        <i x="473" s="1"/>
        <i x="311" s="1"/>
        <i x="306" s="1"/>
        <i x="157" s="1"/>
        <i x="217" s="1"/>
        <i x="405" s="1"/>
        <i x="159" s="1"/>
        <i x="68" s="1"/>
        <i x="278" s="1"/>
        <i x="307" s="1"/>
        <i x="184" s="1"/>
        <i x="141" s="1"/>
        <i x="124" s="1"/>
        <i x="240" s="1"/>
        <i x="18" s="1"/>
        <i x="236" s="1"/>
        <i x="87" s="1"/>
        <i x="343" s="1"/>
        <i x="133" s="1"/>
        <i x="47" s="1"/>
        <i x="140" s="1"/>
        <i x="323" s="1"/>
        <i x="163" s="1"/>
        <i x="234" s="1"/>
        <i x="12" s="1"/>
        <i x="205" s="1"/>
        <i x="332" s="1"/>
        <i x="326" s="1"/>
        <i x="276" s="1"/>
        <i x="186" s="1"/>
        <i x="80" s="1"/>
        <i x="316" s="1"/>
        <i x="352" s="1"/>
        <i x="199" s="1"/>
        <i x="302" s="1"/>
        <i x="169" s="1"/>
        <i x="34" s="1"/>
        <i x="128" s="1"/>
        <i x="340" s="1"/>
        <i x="286" s="1"/>
        <i x="60" s="1"/>
        <i x="196" s="1"/>
        <i x="337" s="1"/>
        <i x="148" s="1"/>
        <i x="251" s="1"/>
        <i x="303" s="1"/>
        <i x="338" s="1"/>
        <i x="260" s="1"/>
        <i x="330" s="1"/>
        <i x="177" s="1"/>
        <i x="241" s="1"/>
        <i x="424" s="1"/>
        <i x="465" s="1"/>
        <i x="282" s="1"/>
        <i x="445" s="1"/>
        <i x="104" s="1"/>
        <i x="76" s="1"/>
        <i x="308" s="1"/>
        <i x="16" s="1"/>
        <i x="275" s="1"/>
        <i x="120" s="1"/>
        <i x="361" s="1"/>
        <i x="265" s="1"/>
        <i x="86" s="1"/>
        <i x="305" s="1"/>
        <i x="6" s="1"/>
        <i x="220" s="1"/>
        <i x="315" s="1"/>
        <i x="168" s="1"/>
        <i x="360" s="1"/>
        <i x="45" s="1"/>
        <i x="382" s="1"/>
        <i x="200" s="1"/>
        <i x="20" s="1"/>
        <i x="238" s="1"/>
        <i x="245" s="1"/>
        <i x="381" s="1"/>
        <i x="244" s="1"/>
        <i x="101" s="1"/>
        <i x="95" s="1"/>
        <i x="347" s="1"/>
        <i x="383" s="1"/>
        <i x="147" s="1"/>
        <i x="310" s="1"/>
        <i x="427" s="1"/>
        <i x="442" s="1"/>
        <i x="113" s="1"/>
        <i x="150" s="1"/>
        <i x="89" s="1"/>
        <i x="327" s="1"/>
        <i x="336" s="1"/>
        <i x="253" s="1"/>
        <i x="466" s="1"/>
        <i x="180" s="1"/>
        <i x="117" s="1"/>
        <i x="299" s="1"/>
        <i x="342" s="1"/>
        <i x="471" s="1"/>
        <i x="247" s="1"/>
        <i x="73" s="1"/>
        <i x="143" s="1"/>
        <i x="164" s="1"/>
        <i x="51" s="1"/>
        <i x="289" s="1"/>
        <i x="264" s="1"/>
        <i x="458" s="1"/>
        <i x="172" s="1"/>
        <i x="406" s="1"/>
        <i x="229" s="1"/>
        <i x="0" s="1"/>
        <i x="114" s="1"/>
        <i x="52" s="1"/>
        <i x="214" s="1"/>
        <i x="470" s="1"/>
        <i x="94" s="1"/>
        <i x="35" s="1"/>
        <i x="161" s="1"/>
        <i x="411" s="1"/>
        <i x="182" s="1"/>
        <i x="331" s="1"/>
        <i x="105" s="1"/>
        <i x="309" s="1"/>
        <i x="222" s="1"/>
        <i x="233" s="1"/>
        <i x="263" s="1"/>
        <i x="254" s="1"/>
        <i x="167" s="1"/>
        <i x="188" s="1"/>
        <i x="472" s="1"/>
        <i x="11" s="1"/>
        <i x="135" s="1"/>
        <i x="151" s="1"/>
        <i x="268" s="1"/>
        <i x="119" s="1"/>
        <i x="439" s="1"/>
        <i x="426" s="1"/>
        <i x="189" s="1"/>
        <i x="344" s="1"/>
        <i x="433" s="1"/>
        <i x="419" s="1"/>
        <i x="193" s="1"/>
        <i x="31" s="1"/>
        <i x="408" s="1"/>
        <i x="145" s="1"/>
        <i x="107" s="1"/>
        <i x="224" s="1"/>
        <i x="215" s="1"/>
        <i x="348" s="1"/>
        <i x="72" s="1"/>
        <i x="242" s="1"/>
        <i x="5" s="1"/>
        <i x="304" s="1"/>
        <i x="74" s="1"/>
        <i x="350" s="1"/>
        <i x="173" s="1"/>
        <i x="335" s="1"/>
        <i x="290" s="1"/>
        <i x="376" s="1"/>
        <i x="410" s="1"/>
        <i x="467" s="1"/>
        <i x="81" s="1"/>
        <i x="297" s="1"/>
        <i x="444" s="1"/>
        <i x="423" s="1"/>
        <i x="99" s="1"/>
        <i x="280" s="1"/>
        <i x="131" s="1"/>
        <i x="118" s="1"/>
        <i x="29" s="1"/>
        <i x="108" s="1"/>
        <i x="329" s="1"/>
        <i x="24" s="1"/>
        <i x="171" s="1"/>
        <i x="226" s="1"/>
        <i x="417" s="1"/>
        <i x="387" s="1"/>
        <i x="19" s="1"/>
        <i x="179" s="1"/>
        <i x="345" s="1"/>
        <i x="82" s="1"/>
        <i x="355" s="1"/>
        <i x="126" s="1"/>
        <i x="314" s="1"/>
        <i x="62" s="1"/>
        <i x="134" s="1"/>
        <i x="334" s="1"/>
        <i x="79" s="1"/>
        <i x="209" s="1"/>
        <i x="412" s="1"/>
        <i x="292" s="1"/>
        <i x="294" s="1"/>
        <i x="39" s="1"/>
        <i x="413" s="1"/>
        <i x="300" s="1"/>
        <i x="44" s="1"/>
        <i x="4" s="1"/>
        <i x="211" s="1"/>
        <i x="36" s="1"/>
        <i x="287" s="1"/>
        <i x="61" s="1"/>
        <i x="90" s="1"/>
        <i x="321" s="1"/>
        <i x="187" s="1"/>
        <i x="436" s="1"/>
        <i x="435" s="1"/>
        <i x="219" s="1"/>
        <i x="203" s="1"/>
        <i x="213" s="1"/>
        <i x="65" s="1"/>
        <i x="149" s="1"/>
        <i x="293" s="1"/>
        <i x="369" s="1"/>
        <i x="374" s="1"/>
        <i x="230" s="1"/>
        <i x="195" s="1"/>
        <i x="152" s="1"/>
        <i x="37" s="1"/>
        <i x="110" s="1"/>
        <i x="431" s="1"/>
        <i x="67" s="1"/>
        <i x="10" s="1"/>
        <i x="48" s="1"/>
        <i x="468" s="1"/>
        <i x="378" s="1"/>
        <i x="70" s="1"/>
        <i x="170" s="1"/>
        <i x="9" s="1"/>
        <i x="461" s="1"/>
        <i x="450" s="1"/>
        <i x="440" s="1"/>
        <i x="422" s="1"/>
        <i x="127" s="1"/>
        <i x="228" s="1"/>
        <i x="216" s="1"/>
        <i x="456" s="1"/>
        <i x="394" s="1"/>
        <i x="398" s="1"/>
        <i x="296" s="1"/>
        <i x="202" s="1"/>
        <i x="401" s="1"/>
        <i x="227" s="1"/>
        <i x="192" s="1"/>
        <i x="453" s="1"/>
        <i x="273" s="1"/>
        <i x="301" s="1"/>
        <i x="58" s="1"/>
        <i x="84" s="1"/>
        <i x="354" s="1"/>
        <i x="362" s="1"/>
        <i x="364" s="1"/>
        <i x="7" s="1"/>
        <i x="441" s="1"/>
        <i x="437" s="1"/>
        <i x="8" s="1"/>
        <i x="351" s="1"/>
        <i x="243" s="1"/>
        <i x="356" s="1"/>
        <i x="271" s="1"/>
        <i x="197" s="1"/>
        <i x="277" s="1"/>
        <i x="225" s="1"/>
        <i x="122" s="1"/>
        <i x="30" s="1"/>
        <i x="69" s="1"/>
        <i x="85" s="1"/>
        <i x="269" s="1"/>
        <i x="111" s="1"/>
        <i x="432" s="1"/>
        <i x="272" s="1"/>
        <i x="208" s="1"/>
        <i x="248" s="1"/>
        <i x="414" s="1"/>
        <i x="402" s="1"/>
        <i x="295" s="1"/>
        <i x="88" s="1"/>
        <i x="284" s="1"/>
        <i x="317" s="1"/>
        <i x="14" s="1"/>
        <i x="142" s="1"/>
        <i x="1" s="1"/>
        <i x="256" s="1"/>
        <i x="391" s="1"/>
        <i x="162" s="1"/>
        <i x="115" s="1"/>
        <i x="358" s="1"/>
        <i x="78" s="1"/>
        <i x="33" s="1"/>
        <i x="353" s="1"/>
        <i x="109" s="1"/>
        <i x="399" s="1"/>
        <i x="392" s="1"/>
        <i x="454" s="1"/>
        <i x="451" s="1"/>
        <i x="156" s="1"/>
        <i x="96" s="1"/>
        <i x="372" s="1"/>
        <i x="428" s="1"/>
        <i x="363" s="1"/>
        <i x="2" s="1"/>
        <i x="103" s="1"/>
        <i x="41" s="1"/>
        <i x="71" s="1"/>
        <i x="166" s="1"/>
        <i x="232" s="1"/>
        <i x="380" s="1"/>
        <i x="274" s="1"/>
        <i x="448" s="1"/>
        <i x="443" s="1"/>
        <i x="102" s="1"/>
        <i x="409" s="1"/>
        <i x="370" s="1"/>
        <i x="373" s="1"/>
        <i x="93" s="1"/>
        <i x="100" s="1"/>
        <i x="22" s="1"/>
        <i x="26" s="1"/>
        <i x="207" s="1"/>
        <i x="404" s="1"/>
        <i x="138" s="1"/>
        <i x="204" s="1"/>
        <i x="324" s="1"/>
        <i x="270" s="1"/>
        <i x="389" s="1"/>
        <i x="175" s="1"/>
        <i x="129" s="1"/>
        <i x="281" s="1"/>
        <i x="98" s="1"/>
        <i x="252" s="1"/>
        <i x="218" s="1"/>
        <i x="3" s="1"/>
        <i x="430" s="1"/>
        <i x="144" s="1"/>
        <i x="322" s="1"/>
        <i x="185" s="1"/>
        <i x="328" s="1"/>
        <i x="464" s="1"/>
        <i x="46" s="1"/>
        <i x="25" s="1"/>
        <i x="59" s="1"/>
        <i x="395" s="1"/>
        <i x="210" s="1"/>
        <i x="43" s="1"/>
        <i x="178" s="1"/>
        <i x="386" s="1"/>
        <i x="75" s="1"/>
        <i x="385" s="1"/>
        <i x="415" s="1"/>
        <i x="267" s="1"/>
        <i x="83" s="1"/>
        <i x="239" s="1"/>
        <i x="57" s="1"/>
        <i x="47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FB690CE-A15E-41D5-AB61-3EA12FA889D2}" sourceName="Month">
  <pivotTables>
    <pivotTable tabId="3" name="PivotTable5"/>
  </pivotTables>
  <data>
    <tabular pivotCacheId="2145523690">
      <items count="13">
        <i x="11" s="1"/>
        <i x="10" s="1"/>
        <i x="1" s="1"/>
        <i x="7" s="1"/>
        <i x="9" s="1"/>
        <i x="5" s="1"/>
        <i x="8" s="1"/>
        <i x="6" s="1"/>
        <i x="0" s="1"/>
        <i x="4" s="1"/>
        <i x="2" s="1"/>
        <i x="3" s="1"/>
        <i x="1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2C73BF67-BE5E-4093-8CC5-E0AD28B29CCB}" sourceName="Sales">
  <pivotTables>
    <pivotTable tabId="3" name="PivotTable5"/>
  </pivotTables>
  <data>
    <tabular pivotCacheId="2145523690">
      <items count="475">
        <i x="459" s="1"/>
        <i x="469" s="1"/>
        <i x="201" s="1"/>
        <i x="291" s="1"/>
        <i x="429" s="1"/>
        <i x="155" s="1"/>
        <i x="455" s="1"/>
        <i x="407" s="1"/>
        <i x="49" s="1"/>
        <i x="27" s="1"/>
        <i x="367" s="1"/>
        <i x="462" s="1"/>
        <i x="116" s="1"/>
        <i x="237" s="1"/>
        <i x="418" s="1"/>
        <i x="136" s="1"/>
        <i x="333" s="1"/>
        <i x="262" s="1"/>
        <i x="288" s="1"/>
        <i x="176" s="1"/>
        <i x="17" s="1"/>
        <i x="137" s="1"/>
        <i x="438" s="1"/>
        <i x="434" s="1"/>
        <i x="397" s="1"/>
        <i x="339" s="1"/>
        <i x="447" s="1"/>
        <i x="121" s="1"/>
        <i x="153" s="1"/>
        <i x="452" s="1"/>
        <i x="359" s="1"/>
        <i x="158" s="1"/>
        <i x="457" s="1"/>
        <i x="368" s="1"/>
        <i x="38" s="1"/>
        <i x="298" s="1"/>
        <i x="64" s="1"/>
        <i x="106" s="1"/>
        <i x="258" s="1"/>
        <i x="183" s="1"/>
        <i x="112" s="1"/>
        <i x="365" s="1"/>
        <i x="235" s="1"/>
        <i x="420" s="1"/>
        <i x="77" s="1"/>
        <i x="21" s="1"/>
        <i x="279" s="1"/>
        <i x="63" s="1"/>
        <i x="194" s="1"/>
        <i x="266" s="1"/>
        <i x="40" s="1"/>
        <i x="50" s="1"/>
        <i x="388" s="1"/>
        <i x="249" s="1"/>
        <i x="66" s="1"/>
        <i x="123" s="1"/>
        <i x="312" s="1"/>
        <i x="449" s="1"/>
        <i x="53" s="1"/>
        <i x="390" s="1"/>
        <i x="318" s="1"/>
        <i x="13" s="1"/>
        <i x="416" s="1"/>
        <i x="325" s="1"/>
        <i x="460" s="1"/>
        <i x="42" s="1"/>
        <i x="56" s="1"/>
        <i x="375" s="1"/>
        <i x="313" s="1"/>
        <i x="154" s="1"/>
        <i x="15" s="1"/>
        <i x="261" s="1"/>
        <i x="223" s="1"/>
        <i x="285" s="1"/>
        <i x="425" s="1"/>
        <i x="125" s="1"/>
        <i x="212" s="1"/>
        <i x="393" s="1"/>
        <i x="146" s="1"/>
        <i x="132" s="1"/>
        <i x="349" s="1"/>
        <i x="130" s="1"/>
        <i x="139" s="1"/>
        <i x="198" s="1"/>
        <i x="206" s="1"/>
        <i x="165" s="1"/>
        <i x="54" s="1"/>
        <i x="255" s="1"/>
        <i x="257" s="1"/>
        <i x="319" s="1"/>
        <i x="174" s="1"/>
        <i x="91" s="1"/>
        <i x="421" s="1"/>
        <i x="403" s="1"/>
        <i x="346" s="1"/>
        <i x="366" s="1"/>
        <i x="463" s="1"/>
        <i x="231" s="1"/>
        <i x="250" s="1"/>
        <i x="221" s="1"/>
        <i x="379" s="1"/>
        <i x="32" s="1"/>
        <i x="341" s="1"/>
        <i x="191" s="1"/>
        <i x="23" s="1"/>
        <i x="400" s="1"/>
        <i x="320" s="1"/>
        <i x="190" s="1"/>
        <i x="396" s="1"/>
        <i x="246" s="1"/>
        <i x="160" s="1"/>
        <i x="97" s="1"/>
        <i x="371" s="1"/>
        <i x="283" s="1"/>
        <i x="259" s="1"/>
        <i x="181" s="1"/>
        <i x="384" s="1"/>
        <i x="377" s="1"/>
        <i x="357" s="1"/>
        <i x="446" s="1"/>
        <i x="92" s="1"/>
        <i x="28" s="1"/>
        <i x="55" s="1"/>
        <i x="473" s="1"/>
        <i x="311" s="1"/>
        <i x="306" s="1"/>
        <i x="157" s="1"/>
        <i x="217" s="1"/>
        <i x="405" s="1"/>
        <i x="159" s="1"/>
        <i x="68" s="1"/>
        <i x="278" s="1"/>
        <i x="307" s="1"/>
        <i x="184" s="1"/>
        <i x="141" s="1"/>
        <i x="124" s="1"/>
        <i x="240" s="1"/>
        <i x="18" s="1"/>
        <i x="236" s="1"/>
        <i x="87" s="1"/>
        <i x="343" s="1"/>
        <i x="133" s="1"/>
        <i x="47" s="1"/>
        <i x="140" s="1"/>
        <i x="323" s="1"/>
        <i x="163" s="1"/>
        <i x="234" s="1"/>
        <i x="12" s="1"/>
        <i x="205" s="1"/>
        <i x="332" s="1"/>
        <i x="326" s="1"/>
        <i x="276" s="1"/>
        <i x="186" s="1"/>
        <i x="80" s="1"/>
        <i x="316" s="1"/>
        <i x="352" s="1"/>
        <i x="199" s="1"/>
        <i x="302" s="1"/>
        <i x="169" s="1"/>
        <i x="34" s="1"/>
        <i x="128" s="1"/>
        <i x="340" s="1"/>
        <i x="286" s="1"/>
        <i x="60" s="1"/>
        <i x="196" s="1"/>
        <i x="337" s="1"/>
        <i x="148" s="1"/>
        <i x="251" s="1"/>
        <i x="303" s="1"/>
        <i x="338" s="1"/>
        <i x="260" s="1"/>
        <i x="330" s="1"/>
        <i x="177" s="1"/>
        <i x="241" s="1"/>
        <i x="424" s="1"/>
        <i x="465" s="1"/>
        <i x="282" s="1"/>
        <i x="445" s="1"/>
        <i x="104" s="1"/>
        <i x="76" s="1"/>
        <i x="308" s="1"/>
        <i x="16" s="1"/>
        <i x="275" s="1"/>
        <i x="120" s="1"/>
        <i x="361" s="1"/>
        <i x="265" s="1"/>
        <i x="86" s="1"/>
        <i x="305" s="1"/>
        <i x="6" s="1"/>
        <i x="220" s="1"/>
        <i x="315" s="1"/>
        <i x="168" s="1"/>
        <i x="360" s="1"/>
        <i x="45" s="1"/>
        <i x="382" s="1"/>
        <i x="200" s="1"/>
        <i x="20" s="1"/>
        <i x="238" s="1"/>
        <i x="245" s="1"/>
        <i x="381" s="1"/>
        <i x="244" s="1"/>
        <i x="101" s="1"/>
        <i x="95" s="1"/>
        <i x="347" s="1"/>
        <i x="383" s="1"/>
        <i x="147" s="1"/>
        <i x="310" s="1"/>
        <i x="427" s="1"/>
        <i x="442" s="1"/>
        <i x="113" s="1"/>
        <i x="150" s="1"/>
        <i x="89" s="1"/>
        <i x="327" s="1"/>
        <i x="336" s="1"/>
        <i x="253" s="1"/>
        <i x="466" s="1"/>
        <i x="180" s="1"/>
        <i x="117" s="1"/>
        <i x="299" s="1"/>
        <i x="342" s="1"/>
        <i x="471" s="1"/>
        <i x="247" s="1"/>
        <i x="73" s="1"/>
        <i x="143" s="1"/>
        <i x="164" s="1"/>
        <i x="51" s="1"/>
        <i x="289" s="1"/>
        <i x="264" s="1"/>
        <i x="458" s="1"/>
        <i x="172" s="1"/>
        <i x="406" s="1"/>
        <i x="229" s="1"/>
        <i x="0" s="1"/>
        <i x="114" s="1"/>
        <i x="52" s="1"/>
        <i x="214" s="1"/>
        <i x="470" s="1"/>
        <i x="94" s="1"/>
        <i x="35" s="1"/>
        <i x="161" s="1"/>
        <i x="411" s="1"/>
        <i x="182" s="1"/>
        <i x="331" s="1"/>
        <i x="105" s="1"/>
        <i x="309" s="1"/>
        <i x="222" s="1"/>
        <i x="233" s="1"/>
        <i x="263" s="1"/>
        <i x="254" s="1"/>
        <i x="167" s="1"/>
        <i x="188" s="1"/>
        <i x="472" s="1"/>
        <i x="11" s="1"/>
        <i x="135" s="1"/>
        <i x="151" s="1"/>
        <i x="268" s="1"/>
        <i x="119" s="1"/>
        <i x="439" s="1"/>
        <i x="426" s="1"/>
        <i x="189" s="1"/>
        <i x="344" s="1"/>
        <i x="433" s="1"/>
        <i x="419" s="1"/>
        <i x="193" s="1"/>
        <i x="31" s="1"/>
        <i x="408" s="1"/>
        <i x="145" s="1"/>
        <i x="107" s="1"/>
        <i x="224" s="1"/>
        <i x="215" s="1"/>
        <i x="348" s="1"/>
        <i x="72" s="1"/>
        <i x="242" s="1"/>
        <i x="5" s="1"/>
        <i x="304" s="1"/>
        <i x="74" s="1"/>
        <i x="350" s="1"/>
        <i x="173" s="1"/>
        <i x="335" s="1"/>
        <i x="290" s="1"/>
        <i x="376" s="1"/>
        <i x="410" s="1"/>
        <i x="467" s="1"/>
        <i x="81" s="1"/>
        <i x="297" s="1"/>
        <i x="444" s="1"/>
        <i x="423" s="1"/>
        <i x="99" s="1"/>
        <i x="280" s="1"/>
        <i x="131" s="1"/>
        <i x="118" s="1"/>
        <i x="29" s="1"/>
        <i x="108" s="1"/>
        <i x="329" s="1"/>
        <i x="24" s="1"/>
        <i x="171" s="1"/>
        <i x="226" s="1"/>
        <i x="417" s="1"/>
        <i x="387" s="1"/>
        <i x="19" s="1"/>
        <i x="179" s="1"/>
        <i x="345" s="1"/>
        <i x="82" s="1"/>
        <i x="355" s="1"/>
        <i x="126" s="1"/>
        <i x="314" s="1"/>
        <i x="62" s="1"/>
        <i x="134" s="1"/>
        <i x="334" s="1"/>
        <i x="79" s="1"/>
        <i x="209" s="1"/>
        <i x="412" s="1"/>
        <i x="292" s="1"/>
        <i x="294" s="1"/>
        <i x="39" s="1"/>
        <i x="413" s="1"/>
        <i x="300" s="1"/>
        <i x="44" s="1"/>
        <i x="4" s="1"/>
        <i x="211" s="1"/>
        <i x="36" s="1"/>
        <i x="287" s="1"/>
        <i x="61" s="1"/>
        <i x="90" s="1"/>
        <i x="321" s="1"/>
        <i x="187" s="1"/>
        <i x="436" s="1"/>
        <i x="435" s="1"/>
        <i x="219" s="1"/>
        <i x="203" s="1"/>
        <i x="213" s="1"/>
        <i x="65" s="1"/>
        <i x="149" s="1"/>
        <i x="293" s="1"/>
        <i x="369" s="1"/>
        <i x="374" s="1"/>
        <i x="230" s="1"/>
        <i x="195" s="1"/>
        <i x="152" s="1"/>
        <i x="37" s="1"/>
        <i x="110" s="1"/>
        <i x="431" s="1"/>
        <i x="67" s="1"/>
        <i x="10" s="1"/>
        <i x="48" s="1"/>
        <i x="468" s="1"/>
        <i x="378" s="1"/>
        <i x="70" s="1"/>
        <i x="170" s="1"/>
        <i x="9" s="1"/>
        <i x="461" s="1"/>
        <i x="450" s="1"/>
        <i x="440" s="1"/>
        <i x="422" s="1"/>
        <i x="127" s="1"/>
        <i x="228" s="1"/>
        <i x="216" s="1"/>
        <i x="456" s="1"/>
        <i x="394" s="1"/>
        <i x="398" s="1"/>
        <i x="296" s="1"/>
        <i x="202" s="1"/>
        <i x="401" s="1"/>
        <i x="227" s="1"/>
        <i x="192" s="1"/>
        <i x="453" s="1"/>
        <i x="273" s="1"/>
        <i x="301" s="1"/>
        <i x="58" s="1"/>
        <i x="84" s="1"/>
        <i x="354" s="1"/>
        <i x="362" s="1"/>
        <i x="364" s="1"/>
        <i x="7" s="1"/>
        <i x="441" s="1"/>
        <i x="437" s="1"/>
        <i x="8" s="1"/>
        <i x="351" s="1"/>
        <i x="243" s="1"/>
        <i x="356" s="1"/>
        <i x="271" s="1"/>
        <i x="197" s="1"/>
        <i x="277" s="1"/>
        <i x="225" s="1"/>
        <i x="122" s="1"/>
        <i x="30" s="1"/>
        <i x="69" s="1"/>
        <i x="85" s="1"/>
        <i x="269" s="1"/>
        <i x="111" s="1"/>
        <i x="432" s="1"/>
        <i x="272" s="1"/>
        <i x="208" s="1"/>
        <i x="248" s="1"/>
        <i x="414" s="1"/>
        <i x="402" s="1"/>
        <i x="295" s="1"/>
        <i x="88" s="1"/>
        <i x="284" s="1"/>
        <i x="317" s="1"/>
        <i x="14" s="1"/>
        <i x="142" s="1"/>
        <i x="1" s="1"/>
        <i x="256" s="1"/>
        <i x="391" s="1"/>
        <i x="162" s="1"/>
        <i x="115" s="1"/>
        <i x="358" s="1"/>
        <i x="78" s="1"/>
        <i x="33" s="1"/>
        <i x="353" s="1"/>
        <i x="109" s="1"/>
        <i x="399" s="1"/>
        <i x="392" s="1"/>
        <i x="454" s="1"/>
        <i x="451" s="1"/>
        <i x="156" s="1"/>
        <i x="96" s="1"/>
        <i x="372" s="1"/>
        <i x="428" s="1"/>
        <i x="363" s="1"/>
        <i x="2" s="1"/>
        <i x="103" s="1"/>
        <i x="41" s="1"/>
        <i x="71" s="1"/>
        <i x="166" s="1"/>
        <i x="232" s="1"/>
        <i x="380" s="1"/>
        <i x="274" s="1"/>
        <i x="448" s="1"/>
        <i x="443" s="1"/>
        <i x="102" s="1"/>
        <i x="409" s="1"/>
        <i x="370" s="1"/>
        <i x="373" s="1"/>
        <i x="93" s="1"/>
        <i x="100" s="1"/>
        <i x="22" s="1"/>
        <i x="26" s="1"/>
        <i x="207" s="1"/>
        <i x="404" s="1"/>
        <i x="138" s="1"/>
        <i x="204" s="1"/>
        <i x="324" s="1"/>
        <i x="270" s="1"/>
        <i x="389" s="1"/>
        <i x="175" s="1"/>
        <i x="129" s="1"/>
        <i x="281" s="1"/>
        <i x="98" s="1"/>
        <i x="252" s="1"/>
        <i x="218" s="1"/>
        <i x="3" s="1"/>
        <i x="430" s="1"/>
        <i x="144" s="1"/>
        <i x="322" s="1"/>
        <i x="185" s="1"/>
        <i x="328" s="1"/>
        <i x="464" s="1"/>
        <i x="46" s="1"/>
        <i x="25" s="1"/>
        <i x="59" s="1"/>
        <i x="395" s="1"/>
        <i x="210" s="1"/>
        <i x="43" s="1"/>
        <i x="178" s="1"/>
        <i x="386" s="1"/>
        <i x="75" s="1"/>
        <i x="385" s="1"/>
        <i x="415" s="1"/>
        <i x="267" s="1"/>
        <i x="83" s="1"/>
        <i x="239" s="1"/>
        <i x="57" s="1"/>
        <i x="47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E7349B-C890-4BF1-AE92-CC2EBF09A69F}" cache="Slicer_Category" caption="Category" rowHeight="234950"/>
  <slicer name="Sales" xr10:uid="{56A7F330-4377-45DC-9EDB-3137B2562F18}" cache="Slicer_Sales" caption="Sales" rowHeight="234950"/>
  <slicer name="Month" xr10:uid="{850AB47E-01DD-4A7C-A79F-373F26DF4704}" cache="Slicer_Month" caption="Month" rowHeight="234950"/>
  <slicer name="Sales 1" xr10:uid="{195161B7-8037-45DB-9794-735EF2D0BA7A}" cache="Slicer_Sales1" caption="Sale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16622-07DB-4A0C-8263-2B9BA32BCF96}">
  <dimension ref="A1:K501"/>
  <sheetViews>
    <sheetView workbookViewId="0">
      <selection activeCell="G13" sqref="G13"/>
    </sheetView>
  </sheetViews>
  <sheetFormatPr defaultRowHeight="14.4" x14ac:dyDescent="0.3"/>
  <cols>
    <col min="1" max="1" width="14.6640625" style="22" bestFit="1" customWidth="1"/>
    <col min="2" max="2" width="12.88671875" style="23" bestFit="1" customWidth="1"/>
    <col min="3" max="3" width="8.109375" style="23" bestFit="1" customWidth="1"/>
    <col min="4" max="4" width="8.33203125" bestFit="1" customWidth="1"/>
    <col min="5" max="5" width="15.5546875" bestFit="1" customWidth="1"/>
    <col min="6" max="6" width="13.109375" bestFit="1" customWidth="1"/>
    <col min="7" max="7" width="90.21875" bestFit="1" customWidth="1"/>
    <col min="8" max="8" width="10" bestFit="1" customWidth="1"/>
    <col min="9" max="10" width="10.33203125" bestFit="1" customWidth="1"/>
    <col min="11" max="11" width="10.6640625" style="24" bestFit="1" customWidth="1"/>
  </cols>
  <sheetData>
    <row r="1" spans="1:11" ht="18" x14ac:dyDescent="0.35">
      <c r="A1" s="25" t="s">
        <v>0</v>
      </c>
      <c r="B1" s="26" t="s">
        <v>1</v>
      </c>
      <c r="C1" s="26" t="s">
        <v>813</v>
      </c>
      <c r="D1" s="27" t="s">
        <v>2</v>
      </c>
      <c r="E1" s="27" t="s">
        <v>3</v>
      </c>
      <c r="F1" s="27" t="s">
        <v>4</v>
      </c>
      <c r="G1" s="27" t="s">
        <v>5</v>
      </c>
      <c r="H1" s="27" t="s">
        <v>6</v>
      </c>
      <c r="I1" s="27" t="s">
        <v>7</v>
      </c>
      <c r="J1" s="27" t="s">
        <v>8</v>
      </c>
      <c r="K1" s="28" t="s">
        <v>9</v>
      </c>
    </row>
    <row r="2" spans="1:11" x14ac:dyDescent="0.3">
      <c r="A2" s="20" t="s">
        <v>10</v>
      </c>
      <c r="B2" s="14">
        <v>41894</v>
      </c>
      <c r="C2" s="14" t="str">
        <f>TEXT(B2,"MMM")</f>
        <v>Sep</v>
      </c>
      <c r="D2" s="13" t="s">
        <v>11</v>
      </c>
      <c r="E2" s="13" t="s">
        <v>12</v>
      </c>
      <c r="F2" s="13" t="s">
        <v>13</v>
      </c>
      <c r="G2" s="13" t="s">
        <v>14</v>
      </c>
      <c r="H2" s="13">
        <v>69.989999999999995</v>
      </c>
      <c r="I2" s="13">
        <v>1</v>
      </c>
      <c r="J2" s="13">
        <v>0</v>
      </c>
      <c r="K2" s="21">
        <v>30.095700000000001</v>
      </c>
    </row>
    <row r="3" spans="1:11" x14ac:dyDescent="0.3">
      <c r="A3" s="20" t="s">
        <v>15</v>
      </c>
      <c r="B3" s="14">
        <v>41699</v>
      </c>
      <c r="C3" s="14" t="str">
        <f t="shared" ref="C3:C66" si="0">TEXT(B3,"MMM")</f>
        <v>Mar</v>
      </c>
      <c r="D3" s="13" t="s">
        <v>16</v>
      </c>
      <c r="E3" s="13" t="s">
        <v>17</v>
      </c>
      <c r="F3" s="13" t="s">
        <v>18</v>
      </c>
      <c r="G3" s="13" t="s">
        <v>19</v>
      </c>
      <c r="H3" s="13">
        <v>457.56799999999998</v>
      </c>
      <c r="I3" s="13">
        <v>2</v>
      </c>
      <c r="J3" s="13">
        <v>0.2</v>
      </c>
      <c r="K3" s="21">
        <v>51.476399999999998</v>
      </c>
    </row>
    <row r="4" spans="1:11" x14ac:dyDescent="0.3">
      <c r="A4" s="20" t="s">
        <v>20</v>
      </c>
      <c r="B4" s="14">
        <v>41954</v>
      </c>
      <c r="C4" s="14" t="str">
        <f t="shared" si="0"/>
        <v>Nov</v>
      </c>
      <c r="D4" s="13" t="s">
        <v>21</v>
      </c>
      <c r="E4" s="13" t="s">
        <v>22</v>
      </c>
      <c r="F4" s="13" t="s">
        <v>23</v>
      </c>
      <c r="G4" s="13" t="s">
        <v>24</v>
      </c>
      <c r="H4" s="13">
        <v>665.88</v>
      </c>
      <c r="I4" s="13">
        <v>6</v>
      </c>
      <c r="J4" s="13">
        <v>0</v>
      </c>
      <c r="K4" s="21">
        <v>13.317600000000001</v>
      </c>
    </row>
    <row r="5" spans="1:11" x14ac:dyDescent="0.3">
      <c r="A5" s="20" t="s">
        <v>25</v>
      </c>
      <c r="B5" s="14">
        <v>41978</v>
      </c>
      <c r="C5" s="14" t="str">
        <f t="shared" si="0"/>
        <v>Dec</v>
      </c>
      <c r="D5" s="13" t="s">
        <v>16</v>
      </c>
      <c r="E5" s="13" t="s">
        <v>26</v>
      </c>
      <c r="F5" s="13" t="s">
        <v>23</v>
      </c>
      <c r="G5" s="13" t="s">
        <v>27</v>
      </c>
      <c r="H5" s="13">
        <v>1113.0239999999999</v>
      </c>
      <c r="I5" s="13">
        <v>8</v>
      </c>
      <c r="J5" s="13">
        <v>0.2</v>
      </c>
      <c r="K5" s="21">
        <v>111.30240000000001</v>
      </c>
    </row>
    <row r="6" spans="1:11" x14ac:dyDescent="0.3">
      <c r="A6" s="20" t="s">
        <v>25</v>
      </c>
      <c r="B6" s="14">
        <v>41978</v>
      </c>
      <c r="C6" s="14" t="str">
        <f t="shared" si="0"/>
        <v>Dec</v>
      </c>
      <c r="D6" s="13" t="s">
        <v>16</v>
      </c>
      <c r="E6" s="13" t="s">
        <v>26</v>
      </c>
      <c r="F6" s="13" t="s">
        <v>13</v>
      </c>
      <c r="G6" s="13" t="s">
        <v>28</v>
      </c>
      <c r="H6" s="13">
        <v>167.96799999999999</v>
      </c>
      <c r="I6" s="13">
        <v>4</v>
      </c>
      <c r="J6" s="13">
        <v>0.2</v>
      </c>
      <c r="K6" s="21">
        <v>62.988</v>
      </c>
    </row>
    <row r="7" spans="1:11" x14ac:dyDescent="0.3">
      <c r="A7" s="20" t="s">
        <v>29</v>
      </c>
      <c r="B7" s="14">
        <v>41934</v>
      </c>
      <c r="C7" s="14" t="str">
        <f t="shared" si="0"/>
        <v>Oct</v>
      </c>
      <c r="D7" s="13" t="s">
        <v>11</v>
      </c>
      <c r="E7" s="13" t="s">
        <v>30</v>
      </c>
      <c r="F7" s="13" t="s">
        <v>18</v>
      </c>
      <c r="G7" s="13" t="s">
        <v>31</v>
      </c>
      <c r="H7" s="13">
        <v>93.888000000000005</v>
      </c>
      <c r="I7" s="13">
        <v>4</v>
      </c>
      <c r="J7" s="13">
        <v>0.2</v>
      </c>
      <c r="K7" s="21">
        <v>12.909599999999999</v>
      </c>
    </row>
    <row r="8" spans="1:11" x14ac:dyDescent="0.3">
      <c r="A8" s="20" t="s">
        <v>32</v>
      </c>
      <c r="B8" s="14">
        <v>41791</v>
      </c>
      <c r="C8" s="14" t="str">
        <f t="shared" si="0"/>
        <v>Jun</v>
      </c>
      <c r="D8" s="13" t="s">
        <v>11</v>
      </c>
      <c r="E8" s="13" t="s">
        <v>33</v>
      </c>
      <c r="F8" s="13" t="s">
        <v>23</v>
      </c>
      <c r="G8" s="13" t="s">
        <v>34</v>
      </c>
      <c r="H8" s="13">
        <v>45.48</v>
      </c>
      <c r="I8" s="13">
        <v>3</v>
      </c>
      <c r="J8" s="13">
        <v>0</v>
      </c>
      <c r="K8" s="21">
        <v>20.9208</v>
      </c>
    </row>
    <row r="9" spans="1:11" x14ac:dyDescent="0.3">
      <c r="A9" s="20" t="s">
        <v>32</v>
      </c>
      <c r="B9" s="14">
        <v>41791</v>
      </c>
      <c r="C9" s="14" t="str">
        <f t="shared" si="0"/>
        <v>Jun</v>
      </c>
      <c r="D9" s="13" t="s">
        <v>11</v>
      </c>
      <c r="E9" s="13" t="s">
        <v>33</v>
      </c>
      <c r="F9" s="13" t="s">
        <v>23</v>
      </c>
      <c r="G9" s="13" t="s">
        <v>35</v>
      </c>
      <c r="H9" s="13">
        <v>289.2</v>
      </c>
      <c r="I9" s="13">
        <v>6</v>
      </c>
      <c r="J9" s="13">
        <v>0</v>
      </c>
      <c r="K9" s="21">
        <v>83.867999999999995</v>
      </c>
    </row>
    <row r="10" spans="1:11" x14ac:dyDescent="0.3">
      <c r="A10" s="20" t="s">
        <v>36</v>
      </c>
      <c r="B10" s="14">
        <v>41999</v>
      </c>
      <c r="C10" s="14" t="str">
        <f t="shared" si="0"/>
        <v>Dec</v>
      </c>
      <c r="D10" s="13" t="s">
        <v>16</v>
      </c>
      <c r="E10" s="13" t="s">
        <v>37</v>
      </c>
      <c r="F10" s="13" t="s">
        <v>18</v>
      </c>
      <c r="G10" s="13" t="s">
        <v>38</v>
      </c>
      <c r="H10" s="13">
        <v>300.416</v>
      </c>
      <c r="I10" s="13">
        <v>8</v>
      </c>
      <c r="J10" s="13">
        <v>0.2</v>
      </c>
      <c r="K10" s="21">
        <v>78.859200000000001</v>
      </c>
    </row>
    <row r="11" spans="1:11" x14ac:dyDescent="0.3">
      <c r="A11" s="20" t="s">
        <v>36</v>
      </c>
      <c r="B11" s="14">
        <v>41999</v>
      </c>
      <c r="C11" s="14" t="str">
        <f t="shared" si="0"/>
        <v>Dec</v>
      </c>
      <c r="D11" s="13" t="s">
        <v>16</v>
      </c>
      <c r="E11" s="13" t="s">
        <v>37</v>
      </c>
      <c r="F11" s="13" t="s">
        <v>18</v>
      </c>
      <c r="G11" s="13" t="s">
        <v>39</v>
      </c>
      <c r="H11" s="13">
        <v>230.352</v>
      </c>
      <c r="I11" s="13">
        <v>3</v>
      </c>
      <c r="J11" s="13">
        <v>0.2</v>
      </c>
      <c r="K11" s="21">
        <v>20.155799999999999</v>
      </c>
    </row>
    <row r="12" spans="1:11" ht="15" thickBot="1" x14ac:dyDescent="0.35">
      <c r="A12" s="20" t="s">
        <v>36</v>
      </c>
      <c r="B12" s="14">
        <v>41999</v>
      </c>
      <c r="C12" s="14" t="str">
        <f t="shared" si="0"/>
        <v>Dec</v>
      </c>
      <c r="D12" s="13" t="s">
        <v>16</v>
      </c>
      <c r="E12" s="17" t="s">
        <v>37</v>
      </c>
      <c r="F12" s="13" t="s">
        <v>18</v>
      </c>
      <c r="G12" s="13" t="s">
        <v>40</v>
      </c>
      <c r="H12" s="13">
        <v>218.352</v>
      </c>
      <c r="I12" s="13">
        <v>3</v>
      </c>
      <c r="J12" s="13">
        <v>0.2</v>
      </c>
      <c r="K12" s="21">
        <v>-24.564599999999999</v>
      </c>
    </row>
    <row r="13" spans="1:11" ht="15" thickBot="1" x14ac:dyDescent="0.35">
      <c r="A13" s="20" t="s">
        <v>36</v>
      </c>
      <c r="B13" s="14">
        <v>41999</v>
      </c>
      <c r="C13" s="14" t="str">
        <f t="shared" si="0"/>
        <v>Dec</v>
      </c>
      <c r="D13" s="15" t="s">
        <v>16</v>
      </c>
      <c r="E13" s="19" t="s">
        <v>37</v>
      </c>
      <c r="F13" s="16" t="s">
        <v>23</v>
      </c>
      <c r="G13" s="13" t="s">
        <v>41</v>
      </c>
      <c r="H13" s="13">
        <v>78.599999999999994</v>
      </c>
      <c r="I13" s="13">
        <v>5</v>
      </c>
      <c r="J13" s="13">
        <v>0.7</v>
      </c>
      <c r="K13" s="21">
        <v>-62.88</v>
      </c>
    </row>
    <row r="14" spans="1:11" x14ac:dyDescent="0.3">
      <c r="A14" s="20" t="s">
        <v>36</v>
      </c>
      <c r="B14" s="14">
        <v>41999</v>
      </c>
      <c r="C14" s="14" t="str">
        <f t="shared" si="0"/>
        <v>Dec</v>
      </c>
      <c r="D14" s="13" t="s">
        <v>16</v>
      </c>
      <c r="E14" s="18" t="s">
        <v>37</v>
      </c>
      <c r="F14" s="13" t="s">
        <v>23</v>
      </c>
      <c r="G14" s="13" t="s">
        <v>42</v>
      </c>
      <c r="H14" s="13">
        <v>27.552</v>
      </c>
      <c r="I14" s="13">
        <v>3</v>
      </c>
      <c r="J14" s="13">
        <v>0.2</v>
      </c>
      <c r="K14" s="21">
        <v>9.2988</v>
      </c>
    </row>
    <row r="15" spans="1:11" x14ac:dyDescent="0.3">
      <c r="A15" s="20" t="s">
        <v>43</v>
      </c>
      <c r="B15" s="14">
        <v>41997</v>
      </c>
      <c r="C15" s="14" t="str">
        <f t="shared" si="0"/>
        <v>Dec</v>
      </c>
      <c r="D15" s="13" t="s">
        <v>44</v>
      </c>
      <c r="E15" s="13" t="s">
        <v>45</v>
      </c>
      <c r="F15" s="13" t="s">
        <v>23</v>
      </c>
      <c r="G15" s="13" t="s">
        <v>46</v>
      </c>
      <c r="H15" s="13">
        <v>9.5679999999999996</v>
      </c>
      <c r="I15" s="13">
        <v>2</v>
      </c>
      <c r="J15" s="13">
        <v>0.2</v>
      </c>
      <c r="K15" s="21">
        <v>3.4683999999999999</v>
      </c>
    </row>
    <row r="16" spans="1:11" x14ac:dyDescent="0.3">
      <c r="A16" s="20" t="s">
        <v>47</v>
      </c>
      <c r="B16" s="14">
        <v>41896</v>
      </c>
      <c r="C16" s="14" t="str">
        <f t="shared" si="0"/>
        <v>Sep</v>
      </c>
      <c r="D16" s="13" t="s">
        <v>11</v>
      </c>
      <c r="E16" s="13" t="s">
        <v>48</v>
      </c>
      <c r="F16" s="13" t="s">
        <v>23</v>
      </c>
      <c r="G16" s="13" t="s">
        <v>49</v>
      </c>
      <c r="H16" s="13">
        <v>449.15</v>
      </c>
      <c r="I16" s="13">
        <v>5</v>
      </c>
      <c r="J16" s="13">
        <v>0</v>
      </c>
      <c r="K16" s="21">
        <v>8.9830000000000005</v>
      </c>
    </row>
    <row r="17" spans="1:11" x14ac:dyDescent="0.3">
      <c r="A17" s="20" t="s">
        <v>47</v>
      </c>
      <c r="B17" s="14">
        <v>41896</v>
      </c>
      <c r="C17" s="14" t="str">
        <f t="shared" si="0"/>
        <v>Sep</v>
      </c>
      <c r="D17" s="13" t="s">
        <v>11</v>
      </c>
      <c r="E17" s="13" t="s">
        <v>48</v>
      </c>
      <c r="F17" s="13" t="s">
        <v>23</v>
      </c>
      <c r="G17" s="13" t="s">
        <v>50</v>
      </c>
      <c r="H17" s="13">
        <v>11.07</v>
      </c>
      <c r="I17" s="13">
        <v>3</v>
      </c>
      <c r="J17" s="13">
        <v>0</v>
      </c>
      <c r="K17" s="21">
        <v>5.0922000000000001</v>
      </c>
    </row>
    <row r="18" spans="1:11" x14ac:dyDescent="0.3">
      <c r="A18" s="20" t="s">
        <v>51</v>
      </c>
      <c r="B18" s="14">
        <v>41876</v>
      </c>
      <c r="C18" s="14" t="str">
        <f t="shared" si="0"/>
        <v>Aug</v>
      </c>
      <c r="D18" s="13" t="s">
        <v>11</v>
      </c>
      <c r="E18" s="13" t="s">
        <v>52</v>
      </c>
      <c r="F18" s="13" t="s">
        <v>23</v>
      </c>
      <c r="G18" s="13" t="s">
        <v>53</v>
      </c>
      <c r="H18" s="13">
        <v>40.095999999999997</v>
      </c>
      <c r="I18" s="13">
        <v>14</v>
      </c>
      <c r="J18" s="13">
        <v>0.2</v>
      </c>
      <c r="K18" s="21">
        <v>14.534800000000001</v>
      </c>
    </row>
    <row r="19" spans="1:11" x14ac:dyDescent="0.3">
      <c r="A19" s="20" t="s">
        <v>51</v>
      </c>
      <c r="B19" s="14">
        <v>41876</v>
      </c>
      <c r="C19" s="14" t="str">
        <f t="shared" si="0"/>
        <v>Aug</v>
      </c>
      <c r="D19" s="13" t="s">
        <v>11</v>
      </c>
      <c r="E19" s="13" t="s">
        <v>52</v>
      </c>
      <c r="F19" s="13" t="s">
        <v>23</v>
      </c>
      <c r="G19" s="13" t="s">
        <v>54</v>
      </c>
      <c r="H19" s="13">
        <v>4.72</v>
      </c>
      <c r="I19" s="13">
        <v>2</v>
      </c>
      <c r="J19" s="13">
        <v>0.2</v>
      </c>
      <c r="K19" s="21">
        <v>1.6519999999999999</v>
      </c>
    </row>
    <row r="20" spans="1:11" x14ac:dyDescent="0.3">
      <c r="A20" s="20" t="s">
        <v>51</v>
      </c>
      <c r="B20" s="14">
        <v>41876</v>
      </c>
      <c r="C20" s="14" t="str">
        <f t="shared" si="0"/>
        <v>Aug</v>
      </c>
      <c r="D20" s="13" t="s">
        <v>11</v>
      </c>
      <c r="E20" s="13" t="s">
        <v>52</v>
      </c>
      <c r="F20" s="13" t="s">
        <v>23</v>
      </c>
      <c r="G20" s="13" t="s">
        <v>55</v>
      </c>
      <c r="H20" s="13">
        <v>23.975999999999999</v>
      </c>
      <c r="I20" s="13">
        <v>3</v>
      </c>
      <c r="J20" s="13">
        <v>0.2</v>
      </c>
      <c r="K20" s="21">
        <v>7.4924999999999997</v>
      </c>
    </row>
    <row r="21" spans="1:11" x14ac:dyDescent="0.3">
      <c r="A21" s="20" t="s">
        <v>51</v>
      </c>
      <c r="B21" s="14">
        <v>41876</v>
      </c>
      <c r="C21" s="14" t="str">
        <f t="shared" si="0"/>
        <v>Aug</v>
      </c>
      <c r="D21" s="13" t="s">
        <v>11</v>
      </c>
      <c r="E21" s="13" t="s">
        <v>52</v>
      </c>
      <c r="F21" s="13" t="s">
        <v>23</v>
      </c>
      <c r="G21" s="13" t="s">
        <v>56</v>
      </c>
      <c r="H21" s="13">
        <v>130.464</v>
      </c>
      <c r="I21" s="13">
        <v>6</v>
      </c>
      <c r="J21" s="13">
        <v>0.2</v>
      </c>
      <c r="K21" s="21">
        <v>44.031599999999997</v>
      </c>
    </row>
    <row r="22" spans="1:11" x14ac:dyDescent="0.3">
      <c r="A22" s="20" t="s">
        <v>57</v>
      </c>
      <c r="B22" s="14">
        <v>41799</v>
      </c>
      <c r="C22" s="14" t="str">
        <f t="shared" si="0"/>
        <v>Jun</v>
      </c>
      <c r="D22" s="13" t="s">
        <v>16</v>
      </c>
      <c r="E22" s="13" t="s">
        <v>58</v>
      </c>
      <c r="F22" s="13" t="s">
        <v>18</v>
      </c>
      <c r="G22" s="13" t="s">
        <v>59</v>
      </c>
      <c r="H22" s="13">
        <v>48.86</v>
      </c>
      <c r="I22" s="13">
        <v>7</v>
      </c>
      <c r="J22" s="13">
        <v>0</v>
      </c>
      <c r="K22" s="21">
        <v>14.1694</v>
      </c>
    </row>
    <row r="23" spans="1:11" x14ac:dyDescent="0.3">
      <c r="A23" s="20" t="s">
        <v>57</v>
      </c>
      <c r="B23" s="14">
        <v>41799</v>
      </c>
      <c r="C23" s="14" t="str">
        <f t="shared" si="0"/>
        <v>Jun</v>
      </c>
      <c r="D23" s="13" t="s">
        <v>16</v>
      </c>
      <c r="E23" s="13" t="s">
        <v>58</v>
      </c>
      <c r="F23" s="13" t="s">
        <v>23</v>
      </c>
      <c r="G23" s="13" t="s">
        <v>60</v>
      </c>
      <c r="H23" s="13">
        <v>7.28</v>
      </c>
      <c r="I23" s="13">
        <v>4</v>
      </c>
      <c r="J23" s="13">
        <v>0</v>
      </c>
      <c r="K23" s="21">
        <v>1.9656</v>
      </c>
    </row>
    <row r="24" spans="1:11" x14ac:dyDescent="0.3">
      <c r="A24" s="20" t="s">
        <v>57</v>
      </c>
      <c r="B24" s="14">
        <v>41799</v>
      </c>
      <c r="C24" s="14" t="str">
        <f t="shared" si="0"/>
        <v>Jun</v>
      </c>
      <c r="D24" s="13" t="s">
        <v>16</v>
      </c>
      <c r="E24" s="13" t="s">
        <v>58</v>
      </c>
      <c r="F24" s="13" t="s">
        <v>13</v>
      </c>
      <c r="G24" s="13" t="s">
        <v>61</v>
      </c>
      <c r="H24" s="13">
        <v>907.15200000000004</v>
      </c>
      <c r="I24" s="13">
        <v>6</v>
      </c>
      <c r="J24" s="13">
        <v>0.2</v>
      </c>
      <c r="K24" s="21">
        <v>90.715199999999996</v>
      </c>
    </row>
    <row r="25" spans="1:11" x14ac:dyDescent="0.3">
      <c r="A25" s="20" t="s">
        <v>57</v>
      </c>
      <c r="B25" s="14">
        <v>41799</v>
      </c>
      <c r="C25" s="14" t="str">
        <f t="shared" si="0"/>
        <v>Jun</v>
      </c>
      <c r="D25" s="13" t="s">
        <v>16</v>
      </c>
      <c r="E25" s="13" t="s">
        <v>58</v>
      </c>
      <c r="F25" s="13" t="s">
        <v>23</v>
      </c>
      <c r="G25" s="13" t="s">
        <v>62</v>
      </c>
      <c r="H25" s="13">
        <v>18.504000000000001</v>
      </c>
      <c r="I25" s="13">
        <v>3</v>
      </c>
      <c r="J25" s="13">
        <v>0.2</v>
      </c>
      <c r="K25" s="21">
        <v>5.7824999999999998</v>
      </c>
    </row>
    <row r="26" spans="1:11" x14ac:dyDescent="0.3">
      <c r="A26" s="20" t="s">
        <v>57</v>
      </c>
      <c r="B26" s="14">
        <v>41799</v>
      </c>
      <c r="C26" s="14" t="str">
        <f t="shared" si="0"/>
        <v>Jun</v>
      </c>
      <c r="D26" s="13" t="s">
        <v>16</v>
      </c>
      <c r="E26" s="13" t="s">
        <v>58</v>
      </c>
      <c r="F26" s="13" t="s">
        <v>23</v>
      </c>
      <c r="G26" s="13" t="s">
        <v>63</v>
      </c>
      <c r="H26" s="13">
        <v>114.9</v>
      </c>
      <c r="I26" s="13">
        <v>5</v>
      </c>
      <c r="J26" s="13">
        <v>0</v>
      </c>
      <c r="K26" s="21">
        <v>34.47</v>
      </c>
    </row>
    <row r="27" spans="1:11" x14ac:dyDescent="0.3">
      <c r="A27" s="20" t="s">
        <v>57</v>
      </c>
      <c r="B27" s="14">
        <v>41799</v>
      </c>
      <c r="C27" s="14" t="str">
        <f t="shared" si="0"/>
        <v>Jun</v>
      </c>
      <c r="D27" s="13" t="s">
        <v>16</v>
      </c>
      <c r="E27" s="13" t="s">
        <v>58</v>
      </c>
      <c r="F27" s="13" t="s">
        <v>18</v>
      </c>
      <c r="G27" s="13" t="s">
        <v>64</v>
      </c>
      <c r="H27" s="13">
        <v>1706.184</v>
      </c>
      <c r="I27" s="13">
        <v>9</v>
      </c>
      <c r="J27" s="13">
        <v>0.2</v>
      </c>
      <c r="K27" s="21">
        <v>85.309200000000004</v>
      </c>
    </row>
    <row r="28" spans="1:11" x14ac:dyDescent="0.3">
      <c r="A28" s="20" t="s">
        <v>57</v>
      </c>
      <c r="B28" s="14">
        <v>41799</v>
      </c>
      <c r="C28" s="14" t="str">
        <f t="shared" si="0"/>
        <v>Jun</v>
      </c>
      <c r="D28" s="13" t="s">
        <v>16</v>
      </c>
      <c r="E28" s="13" t="s">
        <v>58</v>
      </c>
      <c r="F28" s="13" t="s">
        <v>13</v>
      </c>
      <c r="G28" s="13" t="s">
        <v>65</v>
      </c>
      <c r="H28" s="13">
        <v>911.42399999999998</v>
      </c>
      <c r="I28" s="13">
        <v>4</v>
      </c>
      <c r="J28" s="13">
        <v>0.2</v>
      </c>
      <c r="K28" s="21">
        <v>68.356800000000007</v>
      </c>
    </row>
    <row r="29" spans="1:11" x14ac:dyDescent="0.3">
      <c r="A29" s="20" t="s">
        <v>66</v>
      </c>
      <c r="B29" s="14">
        <v>41967</v>
      </c>
      <c r="C29" s="14" t="str">
        <f t="shared" si="0"/>
        <v>Nov</v>
      </c>
      <c r="D29" s="13" t="s">
        <v>11</v>
      </c>
      <c r="E29" s="13" t="s">
        <v>67</v>
      </c>
      <c r="F29" s="13" t="s">
        <v>23</v>
      </c>
      <c r="G29" s="13" t="s">
        <v>68</v>
      </c>
      <c r="H29" s="13">
        <v>2.6240000000000001</v>
      </c>
      <c r="I29" s="13">
        <v>1</v>
      </c>
      <c r="J29" s="13">
        <v>0.2</v>
      </c>
      <c r="K29" s="21">
        <v>0.4264</v>
      </c>
    </row>
    <row r="30" spans="1:11" x14ac:dyDescent="0.3">
      <c r="A30" s="20" t="s">
        <v>69</v>
      </c>
      <c r="B30" s="14">
        <v>41856</v>
      </c>
      <c r="C30" s="14" t="str">
        <f t="shared" si="0"/>
        <v>Aug</v>
      </c>
      <c r="D30" s="13" t="s">
        <v>16</v>
      </c>
      <c r="E30" s="13" t="s">
        <v>58</v>
      </c>
      <c r="F30" s="13" t="s">
        <v>23</v>
      </c>
      <c r="G30" s="13" t="s">
        <v>70</v>
      </c>
      <c r="H30" s="13">
        <v>20.94</v>
      </c>
      <c r="I30" s="13">
        <v>3</v>
      </c>
      <c r="J30" s="13">
        <v>0</v>
      </c>
      <c r="K30" s="21">
        <v>9.8417999999999992</v>
      </c>
    </row>
    <row r="31" spans="1:11" x14ac:dyDescent="0.3">
      <c r="A31" s="20" t="s">
        <v>69</v>
      </c>
      <c r="B31" s="14">
        <v>41856</v>
      </c>
      <c r="C31" s="14" t="str">
        <f t="shared" si="0"/>
        <v>Aug</v>
      </c>
      <c r="D31" s="13" t="s">
        <v>16</v>
      </c>
      <c r="E31" s="13" t="s">
        <v>58</v>
      </c>
      <c r="F31" s="13" t="s">
        <v>23</v>
      </c>
      <c r="G31" s="13" t="s">
        <v>71</v>
      </c>
      <c r="H31" s="13">
        <v>110.96</v>
      </c>
      <c r="I31" s="13">
        <v>2</v>
      </c>
      <c r="J31" s="13">
        <v>0</v>
      </c>
      <c r="K31" s="21">
        <v>53.260800000000003</v>
      </c>
    </row>
    <row r="32" spans="1:11" x14ac:dyDescent="0.3">
      <c r="A32" s="20" t="s">
        <v>69</v>
      </c>
      <c r="B32" s="14">
        <v>41856</v>
      </c>
      <c r="C32" s="14" t="str">
        <f t="shared" si="0"/>
        <v>Aug</v>
      </c>
      <c r="D32" s="13" t="s">
        <v>16</v>
      </c>
      <c r="E32" s="13" t="s">
        <v>58</v>
      </c>
      <c r="F32" s="13" t="s">
        <v>18</v>
      </c>
      <c r="G32" s="13" t="s">
        <v>72</v>
      </c>
      <c r="H32" s="13">
        <v>340.14400000000001</v>
      </c>
      <c r="I32" s="13">
        <v>7</v>
      </c>
      <c r="J32" s="13">
        <v>0.2</v>
      </c>
      <c r="K32" s="21">
        <v>21.259</v>
      </c>
    </row>
    <row r="33" spans="1:11" x14ac:dyDescent="0.3">
      <c r="A33" s="20" t="s">
        <v>73</v>
      </c>
      <c r="B33" s="14">
        <v>41909</v>
      </c>
      <c r="C33" s="14" t="str">
        <f t="shared" si="0"/>
        <v>Sep</v>
      </c>
      <c r="D33" s="13" t="s">
        <v>11</v>
      </c>
      <c r="E33" s="13" t="s">
        <v>74</v>
      </c>
      <c r="F33" s="13" t="s">
        <v>18</v>
      </c>
      <c r="G33" s="13" t="s">
        <v>75</v>
      </c>
      <c r="H33" s="13">
        <v>87.54</v>
      </c>
      <c r="I33" s="13">
        <v>3</v>
      </c>
      <c r="J33" s="13">
        <v>0</v>
      </c>
      <c r="K33" s="21">
        <v>37.642200000000003</v>
      </c>
    </row>
    <row r="34" spans="1:11" x14ac:dyDescent="0.3">
      <c r="A34" s="20" t="s">
        <v>76</v>
      </c>
      <c r="B34" s="14">
        <v>41742</v>
      </c>
      <c r="C34" s="14" t="str">
        <f t="shared" si="0"/>
        <v>Apr</v>
      </c>
      <c r="D34" s="13" t="s">
        <v>11</v>
      </c>
      <c r="E34" s="13" t="s">
        <v>77</v>
      </c>
      <c r="F34" s="13" t="s">
        <v>23</v>
      </c>
      <c r="G34" s="13" t="s">
        <v>78</v>
      </c>
      <c r="H34" s="13">
        <v>17.856000000000002</v>
      </c>
      <c r="I34" s="13">
        <v>4</v>
      </c>
      <c r="J34" s="13">
        <v>0.2</v>
      </c>
      <c r="K34" s="21">
        <v>1.1160000000000001</v>
      </c>
    </row>
    <row r="35" spans="1:11" x14ac:dyDescent="0.3">
      <c r="A35" s="20" t="s">
        <v>76</v>
      </c>
      <c r="B35" s="14">
        <v>41742</v>
      </c>
      <c r="C35" s="14" t="str">
        <f t="shared" si="0"/>
        <v>Apr</v>
      </c>
      <c r="D35" s="13" t="s">
        <v>11</v>
      </c>
      <c r="E35" s="13" t="s">
        <v>77</v>
      </c>
      <c r="F35" s="13" t="s">
        <v>23</v>
      </c>
      <c r="G35" s="13" t="s">
        <v>79</v>
      </c>
      <c r="H35" s="13">
        <v>509.97</v>
      </c>
      <c r="I35" s="13">
        <v>10</v>
      </c>
      <c r="J35" s="13">
        <v>0.7</v>
      </c>
      <c r="K35" s="21">
        <v>-407.976</v>
      </c>
    </row>
    <row r="36" spans="1:11" x14ac:dyDescent="0.3">
      <c r="A36" s="20" t="s">
        <v>76</v>
      </c>
      <c r="B36" s="14">
        <v>41742</v>
      </c>
      <c r="C36" s="14" t="str">
        <f t="shared" si="0"/>
        <v>Apr</v>
      </c>
      <c r="D36" s="13" t="s">
        <v>11</v>
      </c>
      <c r="E36" s="13" t="s">
        <v>77</v>
      </c>
      <c r="F36" s="13" t="s">
        <v>23</v>
      </c>
      <c r="G36" s="13" t="s">
        <v>80</v>
      </c>
      <c r="H36" s="13">
        <v>30.992000000000001</v>
      </c>
      <c r="I36" s="13">
        <v>13</v>
      </c>
      <c r="J36" s="13">
        <v>0.2</v>
      </c>
      <c r="K36" s="21">
        <v>10.0724</v>
      </c>
    </row>
    <row r="37" spans="1:11" x14ac:dyDescent="0.3">
      <c r="A37" s="20" t="s">
        <v>76</v>
      </c>
      <c r="B37" s="14">
        <v>41742</v>
      </c>
      <c r="C37" s="14" t="str">
        <f t="shared" si="0"/>
        <v>Apr</v>
      </c>
      <c r="D37" s="13" t="s">
        <v>11</v>
      </c>
      <c r="E37" s="13" t="s">
        <v>77</v>
      </c>
      <c r="F37" s="13" t="s">
        <v>13</v>
      </c>
      <c r="G37" s="13" t="s">
        <v>81</v>
      </c>
      <c r="H37" s="13">
        <v>71.927999999999997</v>
      </c>
      <c r="I37" s="13">
        <v>12</v>
      </c>
      <c r="J37" s="13">
        <v>0.4</v>
      </c>
      <c r="K37" s="21">
        <v>8.3916000000000004</v>
      </c>
    </row>
    <row r="38" spans="1:11" x14ac:dyDescent="0.3">
      <c r="A38" s="20" t="s">
        <v>82</v>
      </c>
      <c r="B38" s="14">
        <v>41877</v>
      </c>
      <c r="C38" s="14" t="str">
        <f t="shared" si="0"/>
        <v>Aug</v>
      </c>
      <c r="D38" s="13" t="s">
        <v>16</v>
      </c>
      <c r="E38" s="13" t="s">
        <v>58</v>
      </c>
      <c r="F38" s="13" t="s">
        <v>13</v>
      </c>
      <c r="G38" s="13" t="s">
        <v>83</v>
      </c>
      <c r="H38" s="13">
        <v>176.8</v>
      </c>
      <c r="I38" s="13">
        <v>8</v>
      </c>
      <c r="J38" s="13">
        <v>0</v>
      </c>
      <c r="K38" s="21">
        <v>22.984000000000002</v>
      </c>
    </row>
    <row r="39" spans="1:11" x14ac:dyDescent="0.3">
      <c r="A39" s="20" t="s">
        <v>84</v>
      </c>
      <c r="B39" s="14">
        <v>41906</v>
      </c>
      <c r="C39" s="14" t="str">
        <f t="shared" si="0"/>
        <v>Sep</v>
      </c>
      <c r="D39" s="13" t="s">
        <v>16</v>
      </c>
      <c r="E39" s="13" t="s">
        <v>85</v>
      </c>
      <c r="F39" s="13" t="s">
        <v>23</v>
      </c>
      <c r="G39" s="13" t="s">
        <v>86</v>
      </c>
      <c r="H39" s="13">
        <v>211.96</v>
      </c>
      <c r="I39" s="13">
        <v>4</v>
      </c>
      <c r="J39" s="13">
        <v>0</v>
      </c>
      <c r="K39" s="21">
        <v>8.4784000000000006</v>
      </c>
    </row>
    <row r="40" spans="1:11" x14ac:dyDescent="0.3">
      <c r="A40" s="20" t="s">
        <v>87</v>
      </c>
      <c r="B40" s="14">
        <v>41842</v>
      </c>
      <c r="C40" s="14" t="str">
        <f t="shared" si="0"/>
        <v>Jul</v>
      </c>
      <c r="D40" s="13" t="s">
        <v>11</v>
      </c>
      <c r="E40" s="13" t="s">
        <v>88</v>
      </c>
      <c r="F40" s="13" t="s">
        <v>23</v>
      </c>
      <c r="G40" s="13" t="s">
        <v>89</v>
      </c>
      <c r="H40" s="13">
        <v>5.96</v>
      </c>
      <c r="I40" s="13">
        <v>2</v>
      </c>
      <c r="J40" s="13">
        <v>0</v>
      </c>
      <c r="K40" s="21">
        <v>1.6688000000000001</v>
      </c>
    </row>
    <row r="41" spans="1:11" x14ac:dyDescent="0.3">
      <c r="A41" s="20" t="s">
        <v>87</v>
      </c>
      <c r="B41" s="14">
        <v>41842</v>
      </c>
      <c r="C41" s="14" t="str">
        <f t="shared" si="0"/>
        <v>Jul</v>
      </c>
      <c r="D41" s="13" t="s">
        <v>11</v>
      </c>
      <c r="E41" s="13" t="s">
        <v>88</v>
      </c>
      <c r="F41" s="13" t="s">
        <v>13</v>
      </c>
      <c r="G41" s="13" t="s">
        <v>90</v>
      </c>
      <c r="H41" s="13">
        <v>159.97999999999999</v>
      </c>
      <c r="I41" s="13">
        <v>2</v>
      </c>
      <c r="J41" s="13">
        <v>0</v>
      </c>
      <c r="K41" s="21">
        <v>57.592799999999997</v>
      </c>
    </row>
    <row r="42" spans="1:11" x14ac:dyDescent="0.3">
      <c r="A42" s="20" t="s">
        <v>91</v>
      </c>
      <c r="B42" s="14">
        <v>41832</v>
      </c>
      <c r="C42" s="14" t="str">
        <f t="shared" si="0"/>
        <v>Jul</v>
      </c>
      <c r="D42" s="13" t="s">
        <v>16</v>
      </c>
      <c r="E42" s="13" t="s">
        <v>85</v>
      </c>
      <c r="F42" s="13" t="s">
        <v>23</v>
      </c>
      <c r="G42" s="13" t="s">
        <v>92</v>
      </c>
      <c r="H42" s="13">
        <v>7.7119999999999997</v>
      </c>
      <c r="I42" s="13">
        <v>2</v>
      </c>
      <c r="J42" s="13">
        <v>0.2</v>
      </c>
      <c r="K42" s="21">
        <v>2.7955999999999999</v>
      </c>
    </row>
    <row r="43" spans="1:11" x14ac:dyDescent="0.3">
      <c r="A43" s="20" t="s">
        <v>91</v>
      </c>
      <c r="B43" s="14">
        <v>41832</v>
      </c>
      <c r="C43" s="14" t="str">
        <f t="shared" si="0"/>
        <v>Jul</v>
      </c>
      <c r="D43" s="13" t="s">
        <v>16</v>
      </c>
      <c r="E43" s="13" t="s">
        <v>85</v>
      </c>
      <c r="F43" s="13" t="s">
        <v>18</v>
      </c>
      <c r="G43" s="13" t="s">
        <v>93</v>
      </c>
      <c r="H43" s="13">
        <v>698.35199999999998</v>
      </c>
      <c r="I43" s="13">
        <v>3</v>
      </c>
      <c r="J43" s="13">
        <v>0.2</v>
      </c>
      <c r="K43" s="21">
        <v>-17.4588</v>
      </c>
    </row>
    <row r="44" spans="1:11" x14ac:dyDescent="0.3">
      <c r="A44" s="20" t="s">
        <v>94</v>
      </c>
      <c r="B44" s="14">
        <v>42003</v>
      </c>
      <c r="C44" s="14" t="str">
        <f t="shared" si="0"/>
        <v>Dec</v>
      </c>
      <c r="D44" s="13" t="s">
        <v>21</v>
      </c>
      <c r="E44" s="13" t="s">
        <v>95</v>
      </c>
      <c r="F44" s="13" t="s">
        <v>23</v>
      </c>
      <c r="G44" s="13" t="s">
        <v>96</v>
      </c>
      <c r="H44" s="13">
        <v>9.84</v>
      </c>
      <c r="I44" s="13">
        <v>3</v>
      </c>
      <c r="J44" s="13">
        <v>0</v>
      </c>
      <c r="K44" s="21">
        <v>2.8536000000000001</v>
      </c>
    </row>
    <row r="45" spans="1:11" x14ac:dyDescent="0.3">
      <c r="A45" s="20" t="s">
        <v>97</v>
      </c>
      <c r="B45" s="14">
        <v>41791</v>
      </c>
      <c r="C45" s="14" t="str">
        <f t="shared" si="0"/>
        <v>Jun</v>
      </c>
      <c r="D45" s="13" t="s">
        <v>21</v>
      </c>
      <c r="E45" s="13" t="s">
        <v>98</v>
      </c>
      <c r="F45" s="13" t="s">
        <v>18</v>
      </c>
      <c r="G45" s="13" t="s">
        <v>19</v>
      </c>
      <c r="H45" s="13">
        <v>2001.86</v>
      </c>
      <c r="I45" s="13">
        <v>7</v>
      </c>
      <c r="J45" s="13">
        <v>0</v>
      </c>
      <c r="K45" s="21">
        <v>580.5394</v>
      </c>
    </row>
    <row r="46" spans="1:11" x14ac:dyDescent="0.3">
      <c r="A46" s="20" t="s">
        <v>97</v>
      </c>
      <c r="B46" s="14">
        <v>41791</v>
      </c>
      <c r="C46" s="14" t="str">
        <f t="shared" si="0"/>
        <v>Jun</v>
      </c>
      <c r="D46" s="13" t="s">
        <v>21</v>
      </c>
      <c r="E46" s="13" t="s">
        <v>98</v>
      </c>
      <c r="F46" s="13" t="s">
        <v>23</v>
      </c>
      <c r="G46" s="13" t="s">
        <v>99</v>
      </c>
      <c r="H46" s="13">
        <v>166.72</v>
      </c>
      <c r="I46" s="13">
        <v>2</v>
      </c>
      <c r="J46" s="13">
        <v>0</v>
      </c>
      <c r="K46" s="21">
        <v>41.68</v>
      </c>
    </row>
    <row r="47" spans="1:11" x14ac:dyDescent="0.3">
      <c r="A47" s="20" t="s">
        <v>97</v>
      </c>
      <c r="B47" s="14">
        <v>41791</v>
      </c>
      <c r="C47" s="14" t="str">
        <f t="shared" si="0"/>
        <v>Jun</v>
      </c>
      <c r="D47" s="13" t="s">
        <v>21</v>
      </c>
      <c r="E47" s="13" t="s">
        <v>98</v>
      </c>
      <c r="F47" s="13" t="s">
        <v>23</v>
      </c>
      <c r="G47" s="13" t="s">
        <v>100</v>
      </c>
      <c r="H47" s="13">
        <v>47.88</v>
      </c>
      <c r="I47" s="13">
        <v>6</v>
      </c>
      <c r="J47" s="13">
        <v>0</v>
      </c>
      <c r="K47" s="21">
        <v>23.94</v>
      </c>
    </row>
    <row r="48" spans="1:11" x14ac:dyDescent="0.3">
      <c r="A48" s="20" t="s">
        <v>97</v>
      </c>
      <c r="B48" s="14">
        <v>41791</v>
      </c>
      <c r="C48" s="14" t="str">
        <f t="shared" si="0"/>
        <v>Jun</v>
      </c>
      <c r="D48" s="13" t="s">
        <v>21</v>
      </c>
      <c r="E48" s="13" t="s">
        <v>98</v>
      </c>
      <c r="F48" s="13" t="s">
        <v>23</v>
      </c>
      <c r="G48" s="13" t="s">
        <v>101</v>
      </c>
      <c r="H48" s="13">
        <v>1503.25</v>
      </c>
      <c r="I48" s="13">
        <v>5</v>
      </c>
      <c r="J48" s="13">
        <v>0</v>
      </c>
      <c r="K48" s="21">
        <v>496.07249999999999</v>
      </c>
    </row>
    <row r="49" spans="1:11" x14ac:dyDescent="0.3">
      <c r="A49" s="20" t="s">
        <v>97</v>
      </c>
      <c r="B49" s="14">
        <v>41791</v>
      </c>
      <c r="C49" s="14" t="str">
        <f t="shared" si="0"/>
        <v>Jun</v>
      </c>
      <c r="D49" s="13" t="s">
        <v>21</v>
      </c>
      <c r="E49" s="13" t="s">
        <v>98</v>
      </c>
      <c r="F49" s="13" t="s">
        <v>23</v>
      </c>
      <c r="G49" s="13" t="s">
        <v>102</v>
      </c>
      <c r="H49" s="13">
        <v>25.92</v>
      </c>
      <c r="I49" s="13">
        <v>4</v>
      </c>
      <c r="J49" s="13">
        <v>0</v>
      </c>
      <c r="K49" s="21">
        <v>12.441599999999999</v>
      </c>
    </row>
    <row r="50" spans="1:11" x14ac:dyDescent="0.3">
      <c r="A50" s="20" t="s">
        <v>103</v>
      </c>
      <c r="B50" s="14">
        <v>41854</v>
      </c>
      <c r="C50" s="14" t="str">
        <f t="shared" si="0"/>
        <v>Aug</v>
      </c>
      <c r="D50" s="13" t="s">
        <v>16</v>
      </c>
      <c r="E50" s="13" t="s">
        <v>104</v>
      </c>
      <c r="F50" s="13" t="s">
        <v>18</v>
      </c>
      <c r="G50" s="13" t="s">
        <v>105</v>
      </c>
      <c r="H50" s="13">
        <v>218.75</v>
      </c>
      <c r="I50" s="13">
        <v>2</v>
      </c>
      <c r="J50" s="13">
        <v>0.5</v>
      </c>
      <c r="K50" s="21">
        <v>-161.875</v>
      </c>
    </row>
    <row r="51" spans="1:11" x14ac:dyDescent="0.3">
      <c r="A51" s="20" t="s">
        <v>103</v>
      </c>
      <c r="B51" s="14">
        <v>41854</v>
      </c>
      <c r="C51" s="14" t="str">
        <f t="shared" si="0"/>
        <v>Aug</v>
      </c>
      <c r="D51" s="13" t="s">
        <v>16</v>
      </c>
      <c r="E51" s="13" t="s">
        <v>104</v>
      </c>
      <c r="F51" s="13" t="s">
        <v>23</v>
      </c>
      <c r="G51" s="13" t="s">
        <v>106</v>
      </c>
      <c r="H51" s="13">
        <v>2.6</v>
      </c>
      <c r="I51" s="13">
        <v>1</v>
      </c>
      <c r="J51" s="13">
        <v>0.2</v>
      </c>
      <c r="K51" s="21">
        <v>0.29249999999999998</v>
      </c>
    </row>
    <row r="52" spans="1:11" x14ac:dyDescent="0.3">
      <c r="A52" s="20" t="s">
        <v>107</v>
      </c>
      <c r="B52" s="14">
        <v>41799</v>
      </c>
      <c r="C52" s="14" t="str">
        <f t="shared" si="0"/>
        <v>Jun</v>
      </c>
      <c r="D52" s="13" t="s">
        <v>21</v>
      </c>
      <c r="E52" s="13" t="s">
        <v>108</v>
      </c>
      <c r="F52" s="13" t="s">
        <v>13</v>
      </c>
      <c r="G52" s="13" t="s">
        <v>109</v>
      </c>
      <c r="H52" s="13">
        <v>7.992</v>
      </c>
      <c r="I52" s="13">
        <v>1</v>
      </c>
      <c r="J52" s="13">
        <v>0.2</v>
      </c>
      <c r="K52" s="21">
        <v>0.59940000000000004</v>
      </c>
    </row>
    <row r="53" spans="1:11" x14ac:dyDescent="0.3">
      <c r="A53" s="20" t="s">
        <v>107</v>
      </c>
      <c r="B53" s="14">
        <v>41799</v>
      </c>
      <c r="C53" s="14" t="str">
        <f t="shared" si="0"/>
        <v>Jun</v>
      </c>
      <c r="D53" s="13" t="s">
        <v>21</v>
      </c>
      <c r="E53" s="13" t="s">
        <v>108</v>
      </c>
      <c r="F53" s="13" t="s">
        <v>13</v>
      </c>
      <c r="G53" s="13" t="s">
        <v>110</v>
      </c>
      <c r="H53" s="13">
        <v>63.984000000000002</v>
      </c>
      <c r="I53" s="13">
        <v>2</v>
      </c>
      <c r="J53" s="13">
        <v>0.2</v>
      </c>
      <c r="K53" s="21">
        <v>10.397399999999999</v>
      </c>
    </row>
    <row r="54" spans="1:11" x14ac:dyDescent="0.3">
      <c r="A54" s="20" t="s">
        <v>107</v>
      </c>
      <c r="B54" s="14">
        <v>41799</v>
      </c>
      <c r="C54" s="14" t="str">
        <f t="shared" si="0"/>
        <v>Jun</v>
      </c>
      <c r="D54" s="13" t="s">
        <v>21</v>
      </c>
      <c r="E54" s="13" t="s">
        <v>108</v>
      </c>
      <c r="F54" s="13" t="s">
        <v>23</v>
      </c>
      <c r="G54" s="13" t="s">
        <v>111</v>
      </c>
      <c r="H54" s="13">
        <v>70.367999999999995</v>
      </c>
      <c r="I54" s="13">
        <v>2</v>
      </c>
      <c r="J54" s="13">
        <v>0.2</v>
      </c>
      <c r="K54" s="21">
        <v>6.1571999999999996</v>
      </c>
    </row>
    <row r="55" spans="1:11" x14ac:dyDescent="0.3">
      <c r="A55" s="20" t="s">
        <v>112</v>
      </c>
      <c r="B55" s="14">
        <v>41918</v>
      </c>
      <c r="C55" s="14" t="str">
        <f t="shared" si="0"/>
        <v>Oct</v>
      </c>
      <c r="D55" s="13" t="s">
        <v>16</v>
      </c>
      <c r="E55" s="13" t="s">
        <v>113</v>
      </c>
      <c r="F55" s="13" t="s">
        <v>13</v>
      </c>
      <c r="G55" s="13" t="s">
        <v>114</v>
      </c>
      <c r="H55" s="13">
        <v>9.09</v>
      </c>
      <c r="I55" s="13">
        <v>3</v>
      </c>
      <c r="J55" s="13">
        <v>0</v>
      </c>
      <c r="K55" s="21">
        <v>1.9089</v>
      </c>
    </row>
    <row r="56" spans="1:11" x14ac:dyDescent="0.3">
      <c r="A56" s="20" t="s">
        <v>115</v>
      </c>
      <c r="B56" s="14">
        <v>41924</v>
      </c>
      <c r="C56" s="14" t="str">
        <f t="shared" si="0"/>
        <v>Oct</v>
      </c>
      <c r="D56" s="13" t="s">
        <v>16</v>
      </c>
      <c r="E56" s="13" t="s">
        <v>85</v>
      </c>
      <c r="F56" s="13" t="s">
        <v>23</v>
      </c>
      <c r="G56" s="13" t="s">
        <v>89</v>
      </c>
      <c r="H56" s="13">
        <v>14.9</v>
      </c>
      <c r="I56" s="13">
        <v>5</v>
      </c>
      <c r="J56" s="13">
        <v>0</v>
      </c>
      <c r="K56" s="21">
        <v>4.1719999999999997</v>
      </c>
    </row>
    <row r="57" spans="1:11" x14ac:dyDescent="0.3">
      <c r="A57" s="20" t="s">
        <v>115</v>
      </c>
      <c r="B57" s="14">
        <v>41924</v>
      </c>
      <c r="C57" s="14" t="str">
        <f t="shared" si="0"/>
        <v>Oct</v>
      </c>
      <c r="D57" s="13" t="s">
        <v>16</v>
      </c>
      <c r="E57" s="13" t="s">
        <v>85</v>
      </c>
      <c r="F57" s="13" t="s">
        <v>23</v>
      </c>
      <c r="G57" s="13" t="s">
        <v>116</v>
      </c>
      <c r="H57" s="13">
        <v>21.39</v>
      </c>
      <c r="I57" s="13">
        <v>1</v>
      </c>
      <c r="J57" s="13">
        <v>0</v>
      </c>
      <c r="K57" s="21">
        <v>6.2031000000000001</v>
      </c>
    </row>
    <row r="58" spans="1:11" x14ac:dyDescent="0.3">
      <c r="A58" s="20" t="s">
        <v>117</v>
      </c>
      <c r="B58" s="14">
        <v>41890</v>
      </c>
      <c r="C58" s="14" t="str">
        <f t="shared" si="0"/>
        <v>Sep</v>
      </c>
      <c r="D58" s="13" t="s">
        <v>21</v>
      </c>
      <c r="E58" s="13" t="s">
        <v>118</v>
      </c>
      <c r="F58" s="13" t="s">
        <v>23</v>
      </c>
      <c r="G58" s="13" t="s">
        <v>119</v>
      </c>
      <c r="H58" s="13">
        <v>9.9359999999999999</v>
      </c>
      <c r="I58" s="13">
        <v>3</v>
      </c>
      <c r="J58" s="13">
        <v>0.2</v>
      </c>
      <c r="K58" s="21">
        <v>2.7324000000000002</v>
      </c>
    </row>
    <row r="59" spans="1:11" x14ac:dyDescent="0.3">
      <c r="A59" s="20" t="s">
        <v>117</v>
      </c>
      <c r="B59" s="14">
        <v>41890</v>
      </c>
      <c r="C59" s="14" t="str">
        <f t="shared" si="0"/>
        <v>Sep</v>
      </c>
      <c r="D59" s="13" t="s">
        <v>21</v>
      </c>
      <c r="E59" s="13" t="s">
        <v>118</v>
      </c>
      <c r="F59" s="13" t="s">
        <v>13</v>
      </c>
      <c r="G59" s="13" t="s">
        <v>120</v>
      </c>
      <c r="H59" s="13">
        <v>8159.9520000000002</v>
      </c>
      <c r="I59" s="13">
        <v>8</v>
      </c>
      <c r="J59" s="13">
        <v>0.4</v>
      </c>
      <c r="K59" s="21">
        <v>-1359.992</v>
      </c>
    </row>
    <row r="60" spans="1:11" x14ac:dyDescent="0.3">
      <c r="A60" s="20" t="s">
        <v>117</v>
      </c>
      <c r="B60" s="14">
        <v>41890</v>
      </c>
      <c r="C60" s="14" t="str">
        <f t="shared" si="0"/>
        <v>Sep</v>
      </c>
      <c r="D60" s="13" t="s">
        <v>21</v>
      </c>
      <c r="E60" s="13" t="s">
        <v>118</v>
      </c>
      <c r="F60" s="13" t="s">
        <v>23</v>
      </c>
      <c r="G60" s="13" t="s">
        <v>121</v>
      </c>
      <c r="H60" s="13">
        <v>275.928</v>
      </c>
      <c r="I60" s="13">
        <v>3</v>
      </c>
      <c r="J60" s="13">
        <v>0.2</v>
      </c>
      <c r="K60" s="21">
        <v>-58.634700000000002</v>
      </c>
    </row>
    <row r="61" spans="1:11" x14ac:dyDescent="0.3">
      <c r="A61" s="20" t="s">
        <v>117</v>
      </c>
      <c r="B61" s="14">
        <v>41890</v>
      </c>
      <c r="C61" s="14" t="str">
        <f t="shared" si="0"/>
        <v>Sep</v>
      </c>
      <c r="D61" s="13" t="s">
        <v>21</v>
      </c>
      <c r="E61" s="13" t="s">
        <v>118</v>
      </c>
      <c r="F61" s="13" t="s">
        <v>18</v>
      </c>
      <c r="G61" s="13" t="s">
        <v>122</v>
      </c>
      <c r="H61" s="13">
        <v>1740.06</v>
      </c>
      <c r="I61" s="13">
        <v>9</v>
      </c>
      <c r="J61" s="13">
        <v>0.3</v>
      </c>
      <c r="K61" s="21">
        <v>-24.858000000000001</v>
      </c>
    </row>
    <row r="62" spans="1:11" x14ac:dyDescent="0.3">
      <c r="A62" s="20" t="s">
        <v>117</v>
      </c>
      <c r="B62" s="14">
        <v>41890</v>
      </c>
      <c r="C62" s="14" t="str">
        <f t="shared" si="0"/>
        <v>Sep</v>
      </c>
      <c r="D62" s="13" t="s">
        <v>21</v>
      </c>
      <c r="E62" s="13" t="s">
        <v>118</v>
      </c>
      <c r="F62" s="13" t="s">
        <v>23</v>
      </c>
      <c r="G62" s="13" t="s">
        <v>123</v>
      </c>
      <c r="H62" s="13">
        <v>32.064</v>
      </c>
      <c r="I62" s="13">
        <v>6</v>
      </c>
      <c r="J62" s="13">
        <v>0.2</v>
      </c>
      <c r="K62" s="21">
        <v>6.8136000000000001</v>
      </c>
    </row>
    <row r="63" spans="1:11" x14ac:dyDescent="0.3">
      <c r="A63" s="20" t="s">
        <v>117</v>
      </c>
      <c r="B63" s="14">
        <v>41890</v>
      </c>
      <c r="C63" s="14" t="str">
        <f t="shared" si="0"/>
        <v>Sep</v>
      </c>
      <c r="D63" s="13" t="s">
        <v>21</v>
      </c>
      <c r="E63" s="13" t="s">
        <v>118</v>
      </c>
      <c r="F63" s="13" t="s">
        <v>23</v>
      </c>
      <c r="G63" s="13" t="s">
        <v>124</v>
      </c>
      <c r="H63" s="13">
        <v>177.98</v>
      </c>
      <c r="I63" s="13">
        <v>5</v>
      </c>
      <c r="J63" s="13">
        <v>0.8</v>
      </c>
      <c r="K63" s="21">
        <v>-453.84899999999999</v>
      </c>
    </row>
    <row r="64" spans="1:11" x14ac:dyDescent="0.3">
      <c r="A64" s="20" t="s">
        <v>117</v>
      </c>
      <c r="B64" s="14">
        <v>41890</v>
      </c>
      <c r="C64" s="14" t="str">
        <f t="shared" si="0"/>
        <v>Sep</v>
      </c>
      <c r="D64" s="13" t="s">
        <v>21</v>
      </c>
      <c r="E64" s="13" t="s">
        <v>118</v>
      </c>
      <c r="F64" s="13" t="s">
        <v>13</v>
      </c>
      <c r="G64" s="13" t="s">
        <v>125</v>
      </c>
      <c r="H64" s="13">
        <v>143.976</v>
      </c>
      <c r="I64" s="13">
        <v>3</v>
      </c>
      <c r="J64" s="13">
        <v>0.2</v>
      </c>
      <c r="K64" s="21">
        <v>8.9984999999999999</v>
      </c>
    </row>
    <row r="65" spans="1:11" x14ac:dyDescent="0.3">
      <c r="A65" s="20" t="s">
        <v>126</v>
      </c>
      <c r="B65" s="14">
        <v>41719</v>
      </c>
      <c r="C65" s="14" t="str">
        <f t="shared" si="0"/>
        <v>Mar</v>
      </c>
      <c r="D65" s="13" t="s">
        <v>11</v>
      </c>
      <c r="E65" s="13" t="s">
        <v>127</v>
      </c>
      <c r="F65" s="13" t="s">
        <v>23</v>
      </c>
      <c r="G65" s="13" t="s">
        <v>128</v>
      </c>
      <c r="H65" s="13">
        <v>7.4080000000000004</v>
      </c>
      <c r="I65" s="13">
        <v>2</v>
      </c>
      <c r="J65" s="13">
        <v>0.2</v>
      </c>
      <c r="K65" s="21">
        <v>1.2038</v>
      </c>
    </row>
    <row r="66" spans="1:11" x14ac:dyDescent="0.3">
      <c r="A66" s="20" t="s">
        <v>126</v>
      </c>
      <c r="B66" s="14">
        <v>41719</v>
      </c>
      <c r="C66" s="14" t="str">
        <f t="shared" si="0"/>
        <v>Mar</v>
      </c>
      <c r="D66" s="13" t="s">
        <v>11</v>
      </c>
      <c r="E66" s="13" t="s">
        <v>127</v>
      </c>
      <c r="F66" s="13" t="s">
        <v>23</v>
      </c>
      <c r="G66" s="13" t="s">
        <v>129</v>
      </c>
      <c r="H66" s="13">
        <v>6.048</v>
      </c>
      <c r="I66" s="13">
        <v>3</v>
      </c>
      <c r="J66" s="13">
        <v>0.2</v>
      </c>
      <c r="K66" s="21">
        <v>1.5875999999999999</v>
      </c>
    </row>
    <row r="67" spans="1:11" x14ac:dyDescent="0.3">
      <c r="A67" s="20" t="s">
        <v>130</v>
      </c>
      <c r="B67" s="14">
        <v>41812</v>
      </c>
      <c r="C67" s="14" t="str">
        <f t="shared" ref="C67:C130" si="1">TEXT(B67,"MMM")</f>
        <v>Jun</v>
      </c>
      <c r="D67" s="13" t="s">
        <v>16</v>
      </c>
      <c r="E67" s="13" t="s">
        <v>131</v>
      </c>
      <c r="F67" s="13" t="s">
        <v>13</v>
      </c>
      <c r="G67" s="13" t="s">
        <v>132</v>
      </c>
      <c r="H67" s="13">
        <v>196.75200000000001</v>
      </c>
      <c r="I67" s="13">
        <v>6</v>
      </c>
      <c r="J67" s="13">
        <v>0.2</v>
      </c>
      <c r="K67" s="21">
        <v>56.566200000000002</v>
      </c>
    </row>
    <row r="68" spans="1:11" x14ac:dyDescent="0.3">
      <c r="A68" s="20" t="s">
        <v>133</v>
      </c>
      <c r="B68" s="14">
        <v>41878</v>
      </c>
      <c r="C68" s="14" t="str">
        <f t="shared" si="1"/>
        <v>Aug</v>
      </c>
      <c r="D68" s="13" t="s">
        <v>16</v>
      </c>
      <c r="E68" s="13" t="s">
        <v>85</v>
      </c>
      <c r="F68" s="13" t="s">
        <v>23</v>
      </c>
      <c r="G68" s="13" t="s">
        <v>134</v>
      </c>
      <c r="H68" s="13">
        <v>8.56</v>
      </c>
      <c r="I68" s="13">
        <v>2</v>
      </c>
      <c r="J68" s="13">
        <v>0</v>
      </c>
      <c r="K68" s="21">
        <v>2.4824000000000002</v>
      </c>
    </row>
    <row r="69" spans="1:11" x14ac:dyDescent="0.3">
      <c r="A69" s="20" t="s">
        <v>133</v>
      </c>
      <c r="B69" s="14">
        <v>41878</v>
      </c>
      <c r="C69" s="14" t="str">
        <f t="shared" si="1"/>
        <v>Aug</v>
      </c>
      <c r="D69" s="13" t="s">
        <v>16</v>
      </c>
      <c r="E69" s="13" t="s">
        <v>85</v>
      </c>
      <c r="F69" s="13" t="s">
        <v>13</v>
      </c>
      <c r="G69" s="13" t="s">
        <v>135</v>
      </c>
      <c r="H69" s="13">
        <v>213.48</v>
      </c>
      <c r="I69" s="13">
        <v>3</v>
      </c>
      <c r="J69" s="13">
        <v>0.2</v>
      </c>
      <c r="K69" s="21">
        <v>16.010999999999999</v>
      </c>
    </row>
    <row r="70" spans="1:11" x14ac:dyDescent="0.3">
      <c r="A70" s="20" t="s">
        <v>133</v>
      </c>
      <c r="B70" s="14">
        <v>41878</v>
      </c>
      <c r="C70" s="14" t="str">
        <f t="shared" si="1"/>
        <v>Aug</v>
      </c>
      <c r="D70" s="13" t="s">
        <v>16</v>
      </c>
      <c r="E70" s="13" t="s">
        <v>85</v>
      </c>
      <c r="F70" s="13" t="s">
        <v>23</v>
      </c>
      <c r="G70" s="13" t="s">
        <v>136</v>
      </c>
      <c r="H70" s="13">
        <v>22.72</v>
      </c>
      <c r="I70" s="13">
        <v>4</v>
      </c>
      <c r="J70" s="13">
        <v>0.2</v>
      </c>
      <c r="K70" s="21">
        <v>7.3840000000000003</v>
      </c>
    </row>
    <row r="71" spans="1:11" x14ac:dyDescent="0.3">
      <c r="A71" s="20" t="s">
        <v>137</v>
      </c>
      <c r="B71" s="14">
        <v>41952</v>
      </c>
      <c r="C71" s="14" t="str">
        <f t="shared" si="1"/>
        <v>Nov</v>
      </c>
      <c r="D71" s="13" t="s">
        <v>16</v>
      </c>
      <c r="E71" s="13" t="s">
        <v>85</v>
      </c>
      <c r="F71" s="13" t="s">
        <v>23</v>
      </c>
      <c r="G71" s="13" t="s">
        <v>138</v>
      </c>
      <c r="H71" s="13">
        <v>340.92</v>
      </c>
      <c r="I71" s="13">
        <v>3</v>
      </c>
      <c r="J71" s="13">
        <v>0</v>
      </c>
      <c r="K71" s="21">
        <v>3.4091999999999998</v>
      </c>
    </row>
    <row r="72" spans="1:11" x14ac:dyDescent="0.3">
      <c r="A72" s="20" t="s">
        <v>137</v>
      </c>
      <c r="B72" s="14">
        <v>41952</v>
      </c>
      <c r="C72" s="14" t="str">
        <f t="shared" si="1"/>
        <v>Nov</v>
      </c>
      <c r="D72" s="13" t="s">
        <v>16</v>
      </c>
      <c r="E72" s="13" t="s">
        <v>85</v>
      </c>
      <c r="F72" s="13" t="s">
        <v>18</v>
      </c>
      <c r="G72" s="13" t="s">
        <v>139</v>
      </c>
      <c r="H72" s="13">
        <v>222.666</v>
      </c>
      <c r="I72" s="13">
        <v>2</v>
      </c>
      <c r="J72" s="13">
        <v>0.15</v>
      </c>
      <c r="K72" s="21">
        <v>10.478400000000001</v>
      </c>
    </row>
    <row r="73" spans="1:11" x14ac:dyDescent="0.3">
      <c r="A73" s="20" t="s">
        <v>137</v>
      </c>
      <c r="B73" s="14">
        <v>41952</v>
      </c>
      <c r="C73" s="14" t="str">
        <f t="shared" si="1"/>
        <v>Nov</v>
      </c>
      <c r="D73" s="13" t="s">
        <v>16</v>
      </c>
      <c r="E73" s="13" t="s">
        <v>85</v>
      </c>
      <c r="F73" s="13" t="s">
        <v>13</v>
      </c>
      <c r="G73" s="13" t="s">
        <v>140</v>
      </c>
      <c r="H73" s="13">
        <v>703.96799999999996</v>
      </c>
      <c r="I73" s="13">
        <v>4</v>
      </c>
      <c r="J73" s="13">
        <v>0.2</v>
      </c>
      <c r="K73" s="21">
        <v>87.995999999999995</v>
      </c>
    </row>
    <row r="74" spans="1:11" x14ac:dyDescent="0.3">
      <c r="A74" s="20" t="s">
        <v>137</v>
      </c>
      <c r="B74" s="14">
        <v>41952</v>
      </c>
      <c r="C74" s="14" t="str">
        <f t="shared" si="1"/>
        <v>Nov</v>
      </c>
      <c r="D74" s="13" t="s">
        <v>16</v>
      </c>
      <c r="E74" s="13" t="s">
        <v>85</v>
      </c>
      <c r="F74" s="13" t="s">
        <v>23</v>
      </c>
      <c r="G74" s="13" t="s">
        <v>141</v>
      </c>
      <c r="H74" s="13">
        <v>92.52</v>
      </c>
      <c r="I74" s="13">
        <v>6</v>
      </c>
      <c r="J74" s="13">
        <v>0</v>
      </c>
      <c r="K74" s="21">
        <v>24.980399999999999</v>
      </c>
    </row>
    <row r="75" spans="1:11" x14ac:dyDescent="0.3">
      <c r="A75" s="20" t="s">
        <v>137</v>
      </c>
      <c r="B75" s="14">
        <v>41952</v>
      </c>
      <c r="C75" s="14" t="str">
        <f t="shared" si="1"/>
        <v>Nov</v>
      </c>
      <c r="D75" s="13" t="s">
        <v>16</v>
      </c>
      <c r="E75" s="13" t="s">
        <v>85</v>
      </c>
      <c r="F75" s="13" t="s">
        <v>23</v>
      </c>
      <c r="G75" s="13" t="s">
        <v>142</v>
      </c>
      <c r="H75" s="13">
        <v>62.65</v>
      </c>
      <c r="I75" s="13">
        <v>7</v>
      </c>
      <c r="J75" s="13">
        <v>0</v>
      </c>
      <c r="K75" s="21">
        <v>28.818999999999999</v>
      </c>
    </row>
    <row r="76" spans="1:11" x14ac:dyDescent="0.3">
      <c r="A76" s="20" t="s">
        <v>137</v>
      </c>
      <c r="B76" s="14">
        <v>41952</v>
      </c>
      <c r="C76" s="14" t="str">
        <f t="shared" si="1"/>
        <v>Nov</v>
      </c>
      <c r="D76" s="13" t="s">
        <v>16</v>
      </c>
      <c r="E76" s="13" t="s">
        <v>85</v>
      </c>
      <c r="F76" s="13" t="s">
        <v>23</v>
      </c>
      <c r="G76" s="13" t="s">
        <v>143</v>
      </c>
      <c r="H76" s="13">
        <v>94.85</v>
      </c>
      <c r="I76" s="13">
        <v>5</v>
      </c>
      <c r="J76" s="13">
        <v>0</v>
      </c>
      <c r="K76" s="21">
        <v>45.527999999999999</v>
      </c>
    </row>
    <row r="77" spans="1:11" x14ac:dyDescent="0.3">
      <c r="A77" s="20" t="s">
        <v>144</v>
      </c>
      <c r="B77" s="14">
        <v>41932</v>
      </c>
      <c r="C77" s="14" t="str">
        <f t="shared" si="1"/>
        <v>Oct</v>
      </c>
      <c r="D77" s="13" t="s">
        <v>21</v>
      </c>
      <c r="E77" s="13" t="s">
        <v>145</v>
      </c>
      <c r="F77" s="13" t="s">
        <v>23</v>
      </c>
      <c r="G77" s="13" t="s">
        <v>86</v>
      </c>
      <c r="H77" s="13">
        <v>211.96</v>
      </c>
      <c r="I77" s="13">
        <v>4</v>
      </c>
      <c r="J77" s="13">
        <v>0</v>
      </c>
      <c r="K77" s="21">
        <v>8.4784000000000006</v>
      </c>
    </row>
    <row r="78" spans="1:11" x14ac:dyDescent="0.3">
      <c r="A78" s="20" t="s">
        <v>146</v>
      </c>
      <c r="B78" s="14">
        <v>41941</v>
      </c>
      <c r="C78" s="14" t="str">
        <f t="shared" si="1"/>
        <v>Oct</v>
      </c>
      <c r="D78" s="13" t="s">
        <v>21</v>
      </c>
      <c r="E78" s="13" t="s">
        <v>147</v>
      </c>
      <c r="F78" s="13" t="s">
        <v>13</v>
      </c>
      <c r="G78" s="13" t="s">
        <v>148</v>
      </c>
      <c r="H78" s="13">
        <v>2735.9520000000002</v>
      </c>
      <c r="I78" s="13">
        <v>6</v>
      </c>
      <c r="J78" s="13">
        <v>0.2</v>
      </c>
      <c r="K78" s="21">
        <v>341.99400000000003</v>
      </c>
    </row>
    <row r="79" spans="1:11" x14ac:dyDescent="0.3">
      <c r="A79" s="20" t="s">
        <v>149</v>
      </c>
      <c r="B79" s="14">
        <v>41745</v>
      </c>
      <c r="C79" s="14" t="str">
        <f t="shared" si="1"/>
        <v>Apr</v>
      </c>
      <c r="D79" s="13" t="s">
        <v>44</v>
      </c>
      <c r="E79" s="13" t="s">
        <v>150</v>
      </c>
      <c r="F79" s="13" t="s">
        <v>23</v>
      </c>
      <c r="G79" s="13" t="s">
        <v>151</v>
      </c>
      <c r="H79" s="13">
        <v>39.072000000000003</v>
      </c>
      <c r="I79" s="13">
        <v>6</v>
      </c>
      <c r="J79" s="13">
        <v>0.2</v>
      </c>
      <c r="K79" s="21">
        <v>9.7680000000000007</v>
      </c>
    </row>
    <row r="80" spans="1:11" x14ac:dyDescent="0.3">
      <c r="A80" s="20" t="s">
        <v>152</v>
      </c>
      <c r="B80" s="14">
        <v>41901</v>
      </c>
      <c r="C80" s="14" t="str">
        <f t="shared" si="1"/>
        <v>Sep</v>
      </c>
      <c r="D80" s="13" t="s">
        <v>16</v>
      </c>
      <c r="E80" s="13" t="s">
        <v>153</v>
      </c>
      <c r="F80" s="13" t="s">
        <v>23</v>
      </c>
      <c r="G80" s="13" t="s">
        <v>154</v>
      </c>
      <c r="H80" s="13">
        <v>7.16</v>
      </c>
      <c r="I80" s="13">
        <v>2</v>
      </c>
      <c r="J80" s="13">
        <v>0</v>
      </c>
      <c r="K80" s="21">
        <v>3.58</v>
      </c>
    </row>
    <row r="81" spans="1:11" x14ac:dyDescent="0.3">
      <c r="A81" s="20" t="s">
        <v>155</v>
      </c>
      <c r="B81" s="14">
        <v>41962</v>
      </c>
      <c r="C81" s="14" t="str">
        <f t="shared" si="1"/>
        <v>Nov</v>
      </c>
      <c r="D81" s="13" t="s">
        <v>44</v>
      </c>
      <c r="E81" s="13" t="s">
        <v>156</v>
      </c>
      <c r="F81" s="13" t="s">
        <v>13</v>
      </c>
      <c r="G81" s="13" t="s">
        <v>157</v>
      </c>
      <c r="H81" s="13">
        <v>503.96</v>
      </c>
      <c r="I81" s="13">
        <v>4</v>
      </c>
      <c r="J81" s="13">
        <v>0</v>
      </c>
      <c r="K81" s="21">
        <v>131.02959999999999</v>
      </c>
    </row>
    <row r="82" spans="1:11" x14ac:dyDescent="0.3">
      <c r="A82" s="20" t="s">
        <v>155</v>
      </c>
      <c r="B82" s="14">
        <v>41962</v>
      </c>
      <c r="C82" s="14" t="str">
        <f t="shared" si="1"/>
        <v>Nov</v>
      </c>
      <c r="D82" s="13" t="s">
        <v>44</v>
      </c>
      <c r="E82" s="13" t="s">
        <v>156</v>
      </c>
      <c r="F82" s="13" t="s">
        <v>13</v>
      </c>
      <c r="G82" s="13" t="s">
        <v>158</v>
      </c>
      <c r="H82" s="13">
        <v>149.94999999999999</v>
      </c>
      <c r="I82" s="13">
        <v>5</v>
      </c>
      <c r="J82" s="13">
        <v>0</v>
      </c>
      <c r="K82" s="21">
        <v>41.985999999999997</v>
      </c>
    </row>
    <row r="83" spans="1:11" x14ac:dyDescent="0.3">
      <c r="A83" s="20" t="s">
        <v>155</v>
      </c>
      <c r="B83" s="14">
        <v>41962</v>
      </c>
      <c r="C83" s="14" t="str">
        <f t="shared" si="1"/>
        <v>Nov</v>
      </c>
      <c r="D83" s="13" t="s">
        <v>44</v>
      </c>
      <c r="E83" s="13" t="s">
        <v>156</v>
      </c>
      <c r="F83" s="13" t="s">
        <v>13</v>
      </c>
      <c r="G83" s="13" t="s">
        <v>159</v>
      </c>
      <c r="H83" s="13">
        <v>29</v>
      </c>
      <c r="I83" s="13">
        <v>2</v>
      </c>
      <c r="J83" s="13">
        <v>0</v>
      </c>
      <c r="K83" s="21">
        <v>7.25</v>
      </c>
    </row>
    <row r="84" spans="1:11" x14ac:dyDescent="0.3">
      <c r="A84" s="20" t="s">
        <v>160</v>
      </c>
      <c r="B84" s="14">
        <v>42001</v>
      </c>
      <c r="C84" s="14" t="str">
        <f t="shared" si="1"/>
        <v>Dec</v>
      </c>
      <c r="D84" s="13" t="s">
        <v>11</v>
      </c>
      <c r="E84" s="13" t="s">
        <v>77</v>
      </c>
      <c r="F84" s="13" t="s">
        <v>23</v>
      </c>
      <c r="G84" s="13" t="s">
        <v>161</v>
      </c>
      <c r="H84" s="13">
        <v>99.135999999999996</v>
      </c>
      <c r="I84" s="13">
        <v>4</v>
      </c>
      <c r="J84" s="13">
        <v>0.2</v>
      </c>
      <c r="K84" s="21">
        <v>8.6744000000000003</v>
      </c>
    </row>
    <row r="85" spans="1:11" x14ac:dyDescent="0.3">
      <c r="A85" s="20" t="s">
        <v>162</v>
      </c>
      <c r="B85" s="14">
        <v>41947</v>
      </c>
      <c r="C85" s="14" t="str">
        <f t="shared" si="1"/>
        <v>Nov</v>
      </c>
      <c r="D85" s="13" t="s">
        <v>11</v>
      </c>
      <c r="E85" s="13" t="s">
        <v>88</v>
      </c>
      <c r="F85" s="13" t="s">
        <v>18</v>
      </c>
      <c r="G85" s="13" t="s">
        <v>163</v>
      </c>
      <c r="H85" s="13">
        <v>135.88200000000001</v>
      </c>
      <c r="I85" s="13">
        <v>1</v>
      </c>
      <c r="J85" s="13">
        <v>0.1</v>
      </c>
      <c r="K85" s="21">
        <v>24.1568</v>
      </c>
    </row>
    <row r="86" spans="1:11" x14ac:dyDescent="0.3">
      <c r="A86" s="20" t="s">
        <v>162</v>
      </c>
      <c r="B86" s="14">
        <v>41947</v>
      </c>
      <c r="C86" s="14" t="str">
        <f t="shared" si="1"/>
        <v>Nov</v>
      </c>
      <c r="D86" s="13" t="s">
        <v>11</v>
      </c>
      <c r="E86" s="13" t="s">
        <v>88</v>
      </c>
      <c r="F86" s="13" t="s">
        <v>13</v>
      </c>
      <c r="G86" s="13" t="s">
        <v>164</v>
      </c>
      <c r="H86" s="13">
        <v>3991.98</v>
      </c>
      <c r="I86" s="13">
        <v>2</v>
      </c>
      <c r="J86" s="13">
        <v>0</v>
      </c>
      <c r="K86" s="21">
        <v>1995.99</v>
      </c>
    </row>
    <row r="87" spans="1:11" x14ac:dyDescent="0.3">
      <c r="A87" s="20" t="s">
        <v>162</v>
      </c>
      <c r="B87" s="14">
        <v>41947</v>
      </c>
      <c r="C87" s="14" t="str">
        <f t="shared" si="1"/>
        <v>Nov</v>
      </c>
      <c r="D87" s="13" t="s">
        <v>11</v>
      </c>
      <c r="E87" s="13" t="s">
        <v>88</v>
      </c>
      <c r="F87" s="13" t="s">
        <v>13</v>
      </c>
      <c r="G87" s="13" t="s">
        <v>165</v>
      </c>
      <c r="H87" s="13">
        <v>275.94</v>
      </c>
      <c r="I87" s="13">
        <v>6</v>
      </c>
      <c r="J87" s="13">
        <v>0</v>
      </c>
      <c r="K87" s="21">
        <v>80.022599999999997</v>
      </c>
    </row>
    <row r="88" spans="1:11" x14ac:dyDescent="0.3">
      <c r="A88" s="20" t="s">
        <v>162</v>
      </c>
      <c r="B88" s="14">
        <v>41947</v>
      </c>
      <c r="C88" s="14" t="str">
        <f t="shared" si="1"/>
        <v>Nov</v>
      </c>
      <c r="D88" s="13" t="s">
        <v>11</v>
      </c>
      <c r="E88" s="13" t="s">
        <v>88</v>
      </c>
      <c r="F88" s="13" t="s">
        <v>13</v>
      </c>
      <c r="G88" s="13" t="s">
        <v>166</v>
      </c>
      <c r="H88" s="13">
        <v>360</v>
      </c>
      <c r="I88" s="13">
        <v>4</v>
      </c>
      <c r="J88" s="13">
        <v>0</v>
      </c>
      <c r="K88" s="21">
        <v>129.6</v>
      </c>
    </row>
    <row r="89" spans="1:11" x14ac:dyDescent="0.3">
      <c r="A89" s="20" t="s">
        <v>162</v>
      </c>
      <c r="B89" s="14">
        <v>41947</v>
      </c>
      <c r="C89" s="14" t="str">
        <f t="shared" si="1"/>
        <v>Nov</v>
      </c>
      <c r="D89" s="13" t="s">
        <v>11</v>
      </c>
      <c r="E89" s="13" t="s">
        <v>88</v>
      </c>
      <c r="F89" s="13" t="s">
        <v>23</v>
      </c>
      <c r="G89" s="13" t="s">
        <v>167</v>
      </c>
      <c r="H89" s="13">
        <v>43.57</v>
      </c>
      <c r="I89" s="13">
        <v>1</v>
      </c>
      <c r="J89" s="13">
        <v>0</v>
      </c>
      <c r="K89" s="21">
        <v>13.071</v>
      </c>
    </row>
    <row r="90" spans="1:11" x14ac:dyDescent="0.3">
      <c r="A90" s="20" t="s">
        <v>168</v>
      </c>
      <c r="B90" s="14">
        <v>41978</v>
      </c>
      <c r="C90" s="14" t="str">
        <f t="shared" si="1"/>
        <v>Dec</v>
      </c>
      <c r="D90" s="13" t="s">
        <v>21</v>
      </c>
      <c r="E90" s="13" t="s">
        <v>169</v>
      </c>
      <c r="F90" s="13" t="s">
        <v>23</v>
      </c>
      <c r="G90" s="13" t="s">
        <v>170</v>
      </c>
      <c r="H90" s="13">
        <v>24.815999999999999</v>
      </c>
      <c r="I90" s="13">
        <v>2</v>
      </c>
      <c r="J90" s="13">
        <v>0.2</v>
      </c>
      <c r="K90" s="21">
        <v>1.8612</v>
      </c>
    </row>
    <row r="91" spans="1:11" x14ac:dyDescent="0.3">
      <c r="A91" s="20" t="s">
        <v>168</v>
      </c>
      <c r="B91" s="14">
        <v>41978</v>
      </c>
      <c r="C91" s="14" t="str">
        <f t="shared" si="1"/>
        <v>Dec</v>
      </c>
      <c r="D91" s="13" t="s">
        <v>21</v>
      </c>
      <c r="E91" s="13" t="s">
        <v>169</v>
      </c>
      <c r="F91" s="13" t="s">
        <v>13</v>
      </c>
      <c r="G91" s="13" t="s">
        <v>171</v>
      </c>
      <c r="H91" s="13">
        <v>408.74400000000003</v>
      </c>
      <c r="I91" s="13">
        <v>7</v>
      </c>
      <c r="J91" s="13">
        <v>0.2</v>
      </c>
      <c r="K91" s="21">
        <v>76.639499999999998</v>
      </c>
    </row>
    <row r="92" spans="1:11" x14ac:dyDescent="0.3">
      <c r="A92" s="20" t="s">
        <v>172</v>
      </c>
      <c r="B92" s="14">
        <v>41772</v>
      </c>
      <c r="C92" s="14" t="str">
        <f t="shared" si="1"/>
        <v>May</v>
      </c>
      <c r="D92" s="13" t="s">
        <v>16</v>
      </c>
      <c r="E92" s="13" t="s">
        <v>173</v>
      </c>
      <c r="F92" s="13" t="s">
        <v>23</v>
      </c>
      <c r="G92" s="13" t="s">
        <v>174</v>
      </c>
      <c r="H92" s="13">
        <v>55.5</v>
      </c>
      <c r="I92" s="13">
        <v>2</v>
      </c>
      <c r="J92" s="13">
        <v>0</v>
      </c>
      <c r="K92" s="21">
        <v>9.99</v>
      </c>
    </row>
    <row r="93" spans="1:11" x14ac:dyDescent="0.3">
      <c r="A93" s="20" t="s">
        <v>175</v>
      </c>
      <c r="B93" s="14">
        <v>41860</v>
      </c>
      <c r="C93" s="14" t="str">
        <f t="shared" si="1"/>
        <v>Aug</v>
      </c>
      <c r="D93" s="13" t="s">
        <v>44</v>
      </c>
      <c r="E93" s="13" t="s">
        <v>176</v>
      </c>
      <c r="F93" s="13" t="s">
        <v>13</v>
      </c>
      <c r="G93" s="13" t="s">
        <v>177</v>
      </c>
      <c r="H93" s="13">
        <v>178.38399999999999</v>
      </c>
      <c r="I93" s="13">
        <v>2</v>
      </c>
      <c r="J93" s="13">
        <v>0.2</v>
      </c>
      <c r="K93" s="21">
        <v>22.297999999999998</v>
      </c>
    </row>
    <row r="94" spans="1:11" x14ac:dyDescent="0.3">
      <c r="A94" s="20" t="s">
        <v>175</v>
      </c>
      <c r="B94" s="14">
        <v>41860</v>
      </c>
      <c r="C94" s="14" t="str">
        <f t="shared" si="1"/>
        <v>Aug</v>
      </c>
      <c r="D94" s="13" t="s">
        <v>44</v>
      </c>
      <c r="E94" s="13" t="s">
        <v>176</v>
      </c>
      <c r="F94" s="13" t="s">
        <v>23</v>
      </c>
      <c r="G94" s="13" t="s">
        <v>178</v>
      </c>
      <c r="H94" s="13">
        <v>15.552</v>
      </c>
      <c r="I94" s="13">
        <v>3</v>
      </c>
      <c r="J94" s="13">
        <v>0.2</v>
      </c>
      <c r="K94" s="21">
        <v>5.4432</v>
      </c>
    </row>
    <row r="95" spans="1:11" x14ac:dyDescent="0.3">
      <c r="A95" s="20" t="s">
        <v>179</v>
      </c>
      <c r="B95" s="14">
        <v>42044</v>
      </c>
      <c r="C95" s="14" t="str">
        <f t="shared" si="1"/>
        <v>Feb</v>
      </c>
      <c r="D95" s="13" t="s">
        <v>21</v>
      </c>
      <c r="E95" s="13" t="s">
        <v>180</v>
      </c>
      <c r="F95" s="13" t="s">
        <v>13</v>
      </c>
      <c r="G95" s="13" t="s">
        <v>181</v>
      </c>
      <c r="H95" s="13">
        <v>20.8</v>
      </c>
      <c r="I95" s="13">
        <v>2</v>
      </c>
      <c r="J95" s="13">
        <v>0.2</v>
      </c>
      <c r="K95" s="21">
        <v>6.5</v>
      </c>
    </row>
    <row r="96" spans="1:11" x14ac:dyDescent="0.3">
      <c r="A96" s="20" t="s">
        <v>182</v>
      </c>
      <c r="B96" s="14">
        <v>42289</v>
      </c>
      <c r="C96" s="14" t="str">
        <f t="shared" si="1"/>
        <v>Oct</v>
      </c>
      <c r="D96" s="13" t="s">
        <v>11</v>
      </c>
      <c r="E96" s="13" t="s">
        <v>88</v>
      </c>
      <c r="F96" s="13" t="s">
        <v>18</v>
      </c>
      <c r="G96" s="13" t="s">
        <v>183</v>
      </c>
      <c r="H96" s="13">
        <v>899.13599999999997</v>
      </c>
      <c r="I96" s="13">
        <v>4</v>
      </c>
      <c r="J96" s="13">
        <v>0.2</v>
      </c>
      <c r="K96" s="21">
        <v>112.392</v>
      </c>
    </row>
    <row r="97" spans="1:11" x14ac:dyDescent="0.3">
      <c r="A97" s="20" t="s">
        <v>182</v>
      </c>
      <c r="B97" s="14">
        <v>42289</v>
      </c>
      <c r="C97" s="14" t="str">
        <f t="shared" si="1"/>
        <v>Oct</v>
      </c>
      <c r="D97" s="13" t="s">
        <v>11</v>
      </c>
      <c r="E97" s="13" t="s">
        <v>88</v>
      </c>
      <c r="F97" s="13" t="s">
        <v>13</v>
      </c>
      <c r="G97" s="13" t="s">
        <v>184</v>
      </c>
      <c r="H97" s="13">
        <v>71.760000000000005</v>
      </c>
      <c r="I97" s="13">
        <v>6</v>
      </c>
      <c r="J97" s="13">
        <v>0</v>
      </c>
      <c r="K97" s="21">
        <v>20.0928</v>
      </c>
    </row>
    <row r="98" spans="1:11" x14ac:dyDescent="0.3">
      <c r="A98" s="20" t="s">
        <v>182</v>
      </c>
      <c r="B98" s="14">
        <v>42289</v>
      </c>
      <c r="C98" s="14" t="str">
        <f t="shared" si="1"/>
        <v>Oct</v>
      </c>
      <c r="D98" s="13" t="s">
        <v>11</v>
      </c>
      <c r="E98" s="13" t="s">
        <v>88</v>
      </c>
      <c r="F98" s="13" t="s">
        <v>23</v>
      </c>
      <c r="G98" s="13" t="s">
        <v>102</v>
      </c>
      <c r="H98" s="13">
        <v>51.84</v>
      </c>
      <c r="I98" s="13">
        <v>8</v>
      </c>
      <c r="J98" s="13">
        <v>0</v>
      </c>
      <c r="K98" s="21">
        <v>24.883199999999999</v>
      </c>
    </row>
    <row r="99" spans="1:11" x14ac:dyDescent="0.3">
      <c r="A99" s="20" t="s">
        <v>182</v>
      </c>
      <c r="B99" s="14">
        <v>42289</v>
      </c>
      <c r="C99" s="14" t="str">
        <f t="shared" si="1"/>
        <v>Oct</v>
      </c>
      <c r="D99" s="13" t="s">
        <v>11</v>
      </c>
      <c r="E99" s="13" t="s">
        <v>88</v>
      </c>
      <c r="F99" s="13" t="s">
        <v>18</v>
      </c>
      <c r="G99" s="13" t="s">
        <v>185</v>
      </c>
      <c r="H99" s="13">
        <v>626.35199999999998</v>
      </c>
      <c r="I99" s="13">
        <v>3</v>
      </c>
      <c r="J99" s="13">
        <v>0.2</v>
      </c>
      <c r="K99" s="21">
        <v>46.976399999999998</v>
      </c>
    </row>
    <row r="100" spans="1:11" x14ac:dyDescent="0.3">
      <c r="A100" s="20" t="s">
        <v>182</v>
      </c>
      <c r="B100" s="14">
        <v>42289</v>
      </c>
      <c r="C100" s="14" t="str">
        <f t="shared" si="1"/>
        <v>Oct</v>
      </c>
      <c r="D100" s="13" t="s">
        <v>11</v>
      </c>
      <c r="E100" s="13" t="s">
        <v>88</v>
      </c>
      <c r="F100" s="13" t="s">
        <v>23</v>
      </c>
      <c r="G100" s="13" t="s">
        <v>186</v>
      </c>
      <c r="H100" s="13">
        <v>19.899999999999999</v>
      </c>
      <c r="I100" s="13">
        <v>5</v>
      </c>
      <c r="J100" s="13">
        <v>0</v>
      </c>
      <c r="K100" s="21">
        <v>6.5670000000000002</v>
      </c>
    </row>
    <row r="101" spans="1:11" x14ac:dyDescent="0.3">
      <c r="A101" s="20" t="s">
        <v>187</v>
      </c>
      <c r="B101" s="14">
        <v>42272</v>
      </c>
      <c r="C101" s="14" t="str">
        <f t="shared" si="1"/>
        <v>Sep</v>
      </c>
      <c r="D101" s="13" t="s">
        <v>16</v>
      </c>
      <c r="E101" s="13" t="s">
        <v>188</v>
      </c>
      <c r="F101" s="13" t="s">
        <v>18</v>
      </c>
      <c r="G101" s="13" t="s">
        <v>189</v>
      </c>
      <c r="H101" s="13">
        <v>1044.6300000000001</v>
      </c>
      <c r="I101" s="13">
        <v>3</v>
      </c>
      <c r="J101" s="13">
        <v>0</v>
      </c>
      <c r="K101" s="21">
        <v>240.26490000000001</v>
      </c>
    </row>
    <row r="102" spans="1:11" x14ac:dyDescent="0.3">
      <c r="A102" s="20" t="s">
        <v>190</v>
      </c>
      <c r="B102" s="14">
        <v>42353</v>
      </c>
      <c r="C102" s="14" t="str">
        <f t="shared" si="1"/>
        <v>Dec</v>
      </c>
      <c r="D102" s="13" t="s">
        <v>16</v>
      </c>
      <c r="E102" s="13" t="s">
        <v>17</v>
      </c>
      <c r="F102" s="13" t="s">
        <v>23</v>
      </c>
      <c r="G102" s="13" t="s">
        <v>191</v>
      </c>
      <c r="H102" s="13">
        <v>103.92</v>
      </c>
      <c r="I102" s="13">
        <v>4</v>
      </c>
      <c r="J102" s="13">
        <v>0</v>
      </c>
      <c r="K102" s="21">
        <v>36.372</v>
      </c>
    </row>
    <row r="103" spans="1:11" x14ac:dyDescent="0.3">
      <c r="A103" s="20" t="s">
        <v>190</v>
      </c>
      <c r="B103" s="14">
        <v>42353</v>
      </c>
      <c r="C103" s="14" t="str">
        <f t="shared" si="1"/>
        <v>Dec</v>
      </c>
      <c r="D103" s="13" t="s">
        <v>16</v>
      </c>
      <c r="E103" s="13" t="s">
        <v>17</v>
      </c>
      <c r="F103" s="13" t="s">
        <v>13</v>
      </c>
      <c r="G103" s="13" t="s">
        <v>192</v>
      </c>
      <c r="H103" s="13">
        <v>899.91</v>
      </c>
      <c r="I103" s="13">
        <v>9</v>
      </c>
      <c r="J103" s="13">
        <v>0</v>
      </c>
      <c r="K103" s="21">
        <v>377.9622</v>
      </c>
    </row>
    <row r="104" spans="1:11" x14ac:dyDescent="0.3">
      <c r="A104" s="20" t="s">
        <v>190</v>
      </c>
      <c r="B104" s="14">
        <v>42353</v>
      </c>
      <c r="C104" s="14" t="str">
        <f t="shared" si="1"/>
        <v>Dec</v>
      </c>
      <c r="D104" s="13" t="s">
        <v>16</v>
      </c>
      <c r="E104" s="13" t="s">
        <v>17</v>
      </c>
      <c r="F104" s="13" t="s">
        <v>23</v>
      </c>
      <c r="G104" s="13" t="s">
        <v>193</v>
      </c>
      <c r="H104" s="13">
        <v>51.311999999999998</v>
      </c>
      <c r="I104" s="13">
        <v>3</v>
      </c>
      <c r="J104" s="13">
        <v>0.2</v>
      </c>
      <c r="K104" s="21">
        <v>18.6006</v>
      </c>
    </row>
    <row r="105" spans="1:11" x14ac:dyDescent="0.3">
      <c r="A105" s="20" t="s">
        <v>194</v>
      </c>
      <c r="B105" s="14">
        <v>42065</v>
      </c>
      <c r="C105" s="14" t="str">
        <f t="shared" si="1"/>
        <v>Mar</v>
      </c>
      <c r="D105" s="13" t="s">
        <v>16</v>
      </c>
      <c r="E105" s="13" t="s">
        <v>17</v>
      </c>
      <c r="F105" s="13" t="s">
        <v>18</v>
      </c>
      <c r="G105" s="13" t="s">
        <v>195</v>
      </c>
      <c r="H105" s="13">
        <v>787.53</v>
      </c>
      <c r="I105" s="13">
        <v>3</v>
      </c>
      <c r="J105" s="13">
        <v>0</v>
      </c>
      <c r="K105" s="21">
        <v>165.38130000000001</v>
      </c>
    </row>
    <row r="106" spans="1:11" x14ac:dyDescent="0.3">
      <c r="A106" s="20" t="s">
        <v>196</v>
      </c>
      <c r="B106" s="14">
        <v>42254</v>
      </c>
      <c r="C106" s="14" t="str">
        <f t="shared" si="1"/>
        <v>Sep</v>
      </c>
      <c r="D106" s="13" t="s">
        <v>16</v>
      </c>
      <c r="E106" s="13" t="s">
        <v>197</v>
      </c>
      <c r="F106" s="13" t="s">
        <v>23</v>
      </c>
      <c r="G106" s="13" t="s">
        <v>198</v>
      </c>
      <c r="H106" s="13">
        <v>671.93</v>
      </c>
      <c r="I106" s="13">
        <v>7</v>
      </c>
      <c r="J106" s="13">
        <v>0</v>
      </c>
      <c r="K106" s="21">
        <v>20.157900000000001</v>
      </c>
    </row>
    <row r="107" spans="1:11" x14ac:dyDescent="0.3">
      <c r="A107" s="20" t="s">
        <v>199</v>
      </c>
      <c r="B107" s="14">
        <v>42112</v>
      </c>
      <c r="C107" s="14" t="str">
        <f t="shared" si="1"/>
        <v>Apr</v>
      </c>
      <c r="D107" s="13" t="s">
        <v>21</v>
      </c>
      <c r="E107" s="13" t="s">
        <v>200</v>
      </c>
      <c r="F107" s="13" t="s">
        <v>23</v>
      </c>
      <c r="G107" s="13" t="s">
        <v>201</v>
      </c>
      <c r="H107" s="13">
        <v>38.22</v>
      </c>
      <c r="I107" s="13">
        <v>6</v>
      </c>
      <c r="J107" s="13">
        <v>0</v>
      </c>
      <c r="K107" s="21">
        <v>17.9634</v>
      </c>
    </row>
    <row r="108" spans="1:11" x14ac:dyDescent="0.3">
      <c r="A108" s="20" t="s">
        <v>199</v>
      </c>
      <c r="B108" s="14">
        <v>42112</v>
      </c>
      <c r="C108" s="14" t="str">
        <f t="shared" si="1"/>
        <v>Apr</v>
      </c>
      <c r="D108" s="13" t="s">
        <v>21</v>
      </c>
      <c r="E108" s="13" t="s">
        <v>200</v>
      </c>
      <c r="F108" s="13" t="s">
        <v>23</v>
      </c>
      <c r="G108" s="13" t="s">
        <v>202</v>
      </c>
      <c r="H108" s="13">
        <v>75.180000000000007</v>
      </c>
      <c r="I108" s="13">
        <v>6</v>
      </c>
      <c r="J108" s="13">
        <v>0</v>
      </c>
      <c r="K108" s="21">
        <v>35.334600000000002</v>
      </c>
    </row>
    <row r="109" spans="1:11" x14ac:dyDescent="0.3">
      <c r="A109" s="20" t="s">
        <v>199</v>
      </c>
      <c r="B109" s="14">
        <v>42112</v>
      </c>
      <c r="C109" s="14" t="str">
        <f t="shared" si="1"/>
        <v>Apr</v>
      </c>
      <c r="D109" s="13" t="s">
        <v>21</v>
      </c>
      <c r="E109" s="13" t="s">
        <v>200</v>
      </c>
      <c r="F109" s="13" t="s">
        <v>18</v>
      </c>
      <c r="G109" s="13" t="s">
        <v>203</v>
      </c>
      <c r="H109" s="13">
        <v>6.16</v>
      </c>
      <c r="I109" s="13">
        <v>2</v>
      </c>
      <c r="J109" s="13">
        <v>0</v>
      </c>
      <c r="K109" s="21">
        <v>2.9567999999999999</v>
      </c>
    </row>
    <row r="110" spans="1:11" x14ac:dyDescent="0.3">
      <c r="A110" s="20" t="s">
        <v>199</v>
      </c>
      <c r="B110" s="14">
        <v>42112</v>
      </c>
      <c r="C110" s="14" t="str">
        <f t="shared" si="1"/>
        <v>Apr</v>
      </c>
      <c r="D110" s="13" t="s">
        <v>21</v>
      </c>
      <c r="E110" s="13" t="s">
        <v>200</v>
      </c>
      <c r="F110" s="13" t="s">
        <v>18</v>
      </c>
      <c r="G110" s="13" t="s">
        <v>204</v>
      </c>
      <c r="H110" s="13">
        <v>89.99</v>
      </c>
      <c r="I110" s="13">
        <v>1</v>
      </c>
      <c r="J110" s="13">
        <v>0</v>
      </c>
      <c r="K110" s="21">
        <v>17.098099999999999</v>
      </c>
    </row>
    <row r="111" spans="1:11" x14ac:dyDescent="0.3">
      <c r="A111" s="20" t="s">
        <v>205</v>
      </c>
      <c r="B111" s="14">
        <v>42365</v>
      </c>
      <c r="C111" s="14" t="str">
        <f t="shared" si="1"/>
        <v>Dec</v>
      </c>
      <c r="D111" s="13" t="s">
        <v>21</v>
      </c>
      <c r="E111" s="13" t="s">
        <v>206</v>
      </c>
      <c r="F111" s="13" t="s">
        <v>23</v>
      </c>
      <c r="G111" s="13" t="s">
        <v>207</v>
      </c>
      <c r="H111" s="13">
        <v>113.328</v>
      </c>
      <c r="I111" s="13">
        <v>9</v>
      </c>
      <c r="J111" s="13">
        <v>0.2</v>
      </c>
      <c r="K111" s="21">
        <v>35.414999999999999</v>
      </c>
    </row>
    <row r="112" spans="1:11" x14ac:dyDescent="0.3">
      <c r="A112" s="20" t="s">
        <v>205</v>
      </c>
      <c r="B112" s="14">
        <v>42365</v>
      </c>
      <c r="C112" s="14" t="str">
        <f t="shared" si="1"/>
        <v>Dec</v>
      </c>
      <c r="D112" s="13" t="s">
        <v>21</v>
      </c>
      <c r="E112" s="13" t="s">
        <v>206</v>
      </c>
      <c r="F112" s="13" t="s">
        <v>18</v>
      </c>
      <c r="G112" s="13" t="s">
        <v>185</v>
      </c>
      <c r="H112" s="13">
        <v>532.39919999999995</v>
      </c>
      <c r="I112" s="13">
        <v>3</v>
      </c>
      <c r="J112" s="13">
        <v>0.32</v>
      </c>
      <c r="K112" s="21">
        <v>-46.976399999999998</v>
      </c>
    </row>
    <row r="113" spans="1:11" x14ac:dyDescent="0.3">
      <c r="A113" s="20" t="s">
        <v>205</v>
      </c>
      <c r="B113" s="14">
        <v>42365</v>
      </c>
      <c r="C113" s="14" t="str">
        <f t="shared" si="1"/>
        <v>Dec</v>
      </c>
      <c r="D113" s="13" t="s">
        <v>21</v>
      </c>
      <c r="E113" s="13" t="s">
        <v>206</v>
      </c>
      <c r="F113" s="13" t="s">
        <v>18</v>
      </c>
      <c r="G113" s="13" t="s">
        <v>208</v>
      </c>
      <c r="H113" s="13">
        <v>212.05799999999999</v>
      </c>
      <c r="I113" s="13">
        <v>3</v>
      </c>
      <c r="J113" s="13">
        <v>0.3</v>
      </c>
      <c r="K113" s="21">
        <v>-15.147</v>
      </c>
    </row>
    <row r="114" spans="1:11" x14ac:dyDescent="0.3">
      <c r="A114" s="20" t="s">
        <v>205</v>
      </c>
      <c r="B114" s="14">
        <v>42365</v>
      </c>
      <c r="C114" s="14" t="str">
        <f t="shared" si="1"/>
        <v>Dec</v>
      </c>
      <c r="D114" s="13" t="s">
        <v>21</v>
      </c>
      <c r="E114" s="13" t="s">
        <v>206</v>
      </c>
      <c r="F114" s="13" t="s">
        <v>13</v>
      </c>
      <c r="G114" s="13" t="s">
        <v>209</v>
      </c>
      <c r="H114" s="13">
        <v>371.16800000000001</v>
      </c>
      <c r="I114" s="13">
        <v>4</v>
      </c>
      <c r="J114" s="13">
        <v>0.2</v>
      </c>
      <c r="K114" s="21">
        <v>41.756399999999999</v>
      </c>
    </row>
    <row r="115" spans="1:11" x14ac:dyDescent="0.3">
      <c r="A115" s="20" t="s">
        <v>210</v>
      </c>
      <c r="B115" s="14">
        <v>42152</v>
      </c>
      <c r="C115" s="14" t="str">
        <f t="shared" si="1"/>
        <v>May</v>
      </c>
      <c r="D115" s="13" t="s">
        <v>16</v>
      </c>
      <c r="E115" s="13" t="s">
        <v>17</v>
      </c>
      <c r="F115" s="13" t="s">
        <v>23</v>
      </c>
      <c r="G115" s="13" t="s">
        <v>211</v>
      </c>
      <c r="H115" s="13">
        <v>6.63</v>
      </c>
      <c r="I115" s="13">
        <v>3</v>
      </c>
      <c r="J115" s="13">
        <v>0</v>
      </c>
      <c r="K115" s="21">
        <v>1.7901</v>
      </c>
    </row>
    <row r="116" spans="1:11" x14ac:dyDescent="0.3">
      <c r="A116" s="20" t="s">
        <v>212</v>
      </c>
      <c r="B116" s="14">
        <v>42366</v>
      </c>
      <c r="C116" s="14" t="str">
        <f t="shared" si="1"/>
        <v>Dec</v>
      </c>
      <c r="D116" s="13" t="s">
        <v>11</v>
      </c>
      <c r="E116" s="13" t="s">
        <v>77</v>
      </c>
      <c r="F116" s="13" t="s">
        <v>13</v>
      </c>
      <c r="G116" s="13" t="s">
        <v>213</v>
      </c>
      <c r="H116" s="13">
        <v>54.384</v>
      </c>
      <c r="I116" s="13">
        <v>2</v>
      </c>
      <c r="J116" s="13">
        <v>0.2</v>
      </c>
      <c r="K116" s="21">
        <v>1.3595999999999999</v>
      </c>
    </row>
    <row r="117" spans="1:11" x14ac:dyDescent="0.3">
      <c r="A117" s="20" t="s">
        <v>214</v>
      </c>
      <c r="B117" s="14">
        <v>42308</v>
      </c>
      <c r="C117" s="14" t="str">
        <f t="shared" si="1"/>
        <v>Oct</v>
      </c>
      <c r="D117" s="13" t="s">
        <v>21</v>
      </c>
      <c r="E117" s="13" t="s">
        <v>215</v>
      </c>
      <c r="F117" s="13" t="s">
        <v>23</v>
      </c>
      <c r="G117" s="13" t="s">
        <v>216</v>
      </c>
      <c r="H117" s="13">
        <v>70.12</v>
      </c>
      <c r="I117" s="13">
        <v>4</v>
      </c>
      <c r="J117" s="13">
        <v>0</v>
      </c>
      <c r="K117" s="21">
        <v>21.036000000000001</v>
      </c>
    </row>
    <row r="118" spans="1:11" x14ac:dyDescent="0.3">
      <c r="A118" s="20" t="s">
        <v>217</v>
      </c>
      <c r="B118" s="14">
        <v>42341</v>
      </c>
      <c r="C118" s="14" t="str">
        <f t="shared" si="1"/>
        <v>Dec</v>
      </c>
      <c r="D118" s="13" t="s">
        <v>11</v>
      </c>
      <c r="E118" s="13" t="s">
        <v>77</v>
      </c>
      <c r="F118" s="13" t="s">
        <v>13</v>
      </c>
      <c r="G118" s="13" t="s">
        <v>218</v>
      </c>
      <c r="H118" s="13">
        <v>482.34</v>
      </c>
      <c r="I118" s="13">
        <v>4</v>
      </c>
      <c r="J118" s="13">
        <v>0.7</v>
      </c>
      <c r="K118" s="21">
        <v>-337.63799999999998</v>
      </c>
    </row>
    <row r="119" spans="1:11" x14ac:dyDescent="0.3">
      <c r="A119" s="20" t="s">
        <v>217</v>
      </c>
      <c r="B119" s="14">
        <v>42341</v>
      </c>
      <c r="C119" s="14" t="str">
        <f t="shared" si="1"/>
        <v>Dec</v>
      </c>
      <c r="D119" s="13" t="s">
        <v>11</v>
      </c>
      <c r="E119" s="13" t="s">
        <v>77</v>
      </c>
      <c r="F119" s="13" t="s">
        <v>18</v>
      </c>
      <c r="G119" s="13" t="s">
        <v>219</v>
      </c>
      <c r="H119" s="13">
        <v>2.96</v>
      </c>
      <c r="I119" s="13">
        <v>1</v>
      </c>
      <c r="J119" s="13">
        <v>0.2</v>
      </c>
      <c r="K119" s="21">
        <v>0.77700000000000002</v>
      </c>
    </row>
    <row r="120" spans="1:11" x14ac:dyDescent="0.3">
      <c r="A120" s="20" t="s">
        <v>220</v>
      </c>
      <c r="B120" s="14">
        <v>42155</v>
      </c>
      <c r="C120" s="14" t="str">
        <f t="shared" si="1"/>
        <v>May</v>
      </c>
      <c r="D120" s="13" t="s">
        <v>16</v>
      </c>
      <c r="E120" s="13" t="s">
        <v>221</v>
      </c>
      <c r="F120" s="13" t="s">
        <v>23</v>
      </c>
      <c r="G120" s="13" t="s">
        <v>222</v>
      </c>
      <c r="H120" s="13">
        <v>58.38</v>
      </c>
      <c r="I120" s="13">
        <v>7</v>
      </c>
      <c r="J120" s="13">
        <v>0</v>
      </c>
      <c r="K120" s="21">
        <v>26.271000000000001</v>
      </c>
    </row>
    <row r="121" spans="1:11" x14ac:dyDescent="0.3">
      <c r="A121" s="20" t="s">
        <v>220</v>
      </c>
      <c r="B121" s="14">
        <v>42155</v>
      </c>
      <c r="C121" s="14" t="str">
        <f t="shared" si="1"/>
        <v>May</v>
      </c>
      <c r="D121" s="13" t="s">
        <v>16</v>
      </c>
      <c r="E121" s="13" t="s">
        <v>221</v>
      </c>
      <c r="F121" s="13" t="s">
        <v>23</v>
      </c>
      <c r="G121" s="13" t="s">
        <v>223</v>
      </c>
      <c r="H121" s="13">
        <v>105.52</v>
      </c>
      <c r="I121" s="13">
        <v>4</v>
      </c>
      <c r="J121" s="13">
        <v>0</v>
      </c>
      <c r="K121" s="21">
        <v>48.539200000000001</v>
      </c>
    </row>
    <row r="122" spans="1:11" x14ac:dyDescent="0.3">
      <c r="A122" s="20" t="s">
        <v>220</v>
      </c>
      <c r="B122" s="14">
        <v>42155</v>
      </c>
      <c r="C122" s="14" t="str">
        <f t="shared" si="1"/>
        <v>May</v>
      </c>
      <c r="D122" s="13" t="s">
        <v>16</v>
      </c>
      <c r="E122" s="13" t="s">
        <v>221</v>
      </c>
      <c r="F122" s="13" t="s">
        <v>23</v>
      </c>
      <c r="G122" s="13" t="s">
        <v>224</v>
      </c>
      <c r="H122" s="13">
        <v>80.88</v>
      </c>
      <c r="I122" s="13">
        <v>6</v>
      </c>
      <c r="J122" s="13">
        <v>0</v>
      </c>
      <c r="K122" s="21">
        <v>21.0288</v>
      </c>
    </row>
    <row r="123" spans="1:11" x14ac:dyDescent="0.3">
      <c r="A123" s="20" t="s">
        <v>225</v>
      </c>
      <c r="B123" s="14">
        <v>42181</v>
      </c>
      <c r="C123" s="14" t="str">
        <f t="shared" si="1"/>
        <v>Jun</v>
      </c>
      <c r="D123" s="13" t="s">
        <v>21</v>
      </c>
      <c r="E123" s="13" t="s">
        <v>95</v>
      </c>
      <c r="F123" s="13" t="s">
        <v>13</v>
      </c>
      <c r="G123" s="13" t="s">
        <v>226</v>
      </c>
      <c r="H123" s="13">
        <v>41.9</v>
      </c>
      <c r="I123" s="13">
        <v>2</v>
      </c>
      <c r="J123" s="13">
        <v>0</v>
      </c>
      <c r="K123" s="21">
        <v>8.7989999999999995</v>
      </c>
    </row>
    <row r="124" spans="1:11" x14ac:dyDescent="0.3">
      <c r="A124" s="20" t="s">
        <v>227</v>
      </c>
      <c r="B124" s="14">
        <v>42177</v>
      </c>
      <c r="C124" s="14" t="str">
        <f t="shared" si="1"/>
        <v>Jun</v>
      </c>
      <c r="D124" s="13" t="s">
        <v>16</v>
      </c>
      <c r="E124" s="13" t="s">
        <v>228</v>
      </c>
      <c r="F124" s="13" t="s">
        <v>23</v>
      </c>
      <c r="G124" s="13" t="s">
        <v>229</v>
      </c>
      <c r="H124" s="13">
        <v>4.96</v>
      </c>
      <c r="I124" s="13">
        <v>4</v>
      </c>
      <c r="J124" s="13">
        <v>0</v>
      </c>
      <c r="K124" s="21">
        <v>2.3311999999999999</v>
      </c>
    </row>
    <row r="125" spans="1:11" x14ac:dyDescent="0.3">
      <c r="A125" s="20" t="s">
        <v>230</v>
      </c>
      <c r="B125" s="14">
        <v>42292</v>
      </c>
      <c r="C125" s="14" t="str">
        <f t="shared" si="1"/>
        <v>Oct</v>
      </c>
      <c r="D125" s="13" t="s">
        <v>21</v>
      </c>
      <c r="E125" s="13" t="s">
        <v>231</v>
      </c>
      <c r="F125" s="13" t="s">
        <v>13</v>
      </c>
      <c r="G125" s="13" t="s">
        <v>232</v>
      </c>
      <c r="H125" s="13">
        <v>339.96</v>
      </c>
      <c r="I125" s="13">
        <v>5</v>
      </c>
      <c r="J125" s="13">
        <v>0.2</v>
      </c>
      <c r="K125" s="21">
        <v>67.992000000000004</v>
      </c>
    </row>
    <row r="126" spans="1:11" x14ac:dyDescent="0.3">
      <c r="A126" s="20" t="s">
        <v>233</v>
      </c>
      <c r="B126" s="14">
        <v>42122</v>
      </c>
      <c r="C126" s="14" t="str">
        <f t="shared" si="1"/>
        <v>Apr</v>
      </c>
      <c r="D126" s="13" t="s">
        <v>21</v>
      </c>
      <c r="E126" s="13" t="s">
        <v>206</v>
      </c>
      <c r="F126" s="13" t="s">
        <v>23</v>
      </c>
      <c r="G126" s="13" t="s">
        <v>234</v>
      </c>
      <c r="H126" s="13">
        <v>8.6519999999999992</v>
      </c>
      <c r="I126" s="13">
        <v>3</v>
      </c>
      <c r="J126" s="13">
        <v>0.8</v>
      </c>
      <c r="K126" s="21">
        <v>-20.3322</v>
      </c>
    </row>
    <row r="127" spans="1:11" x14ac:dyDescent="0.3">
      <c r="A127" s="20" t="s">
        <v>233</v>
      </c>
      <c r="B127" s="14">
        <v>42122</v>
      </c>
      <c r="C127" s="14" t="str">
        <f t="shared" si="1"/>
        <v>Apr</v>
      </c>
      <c r="D127" s="13" t="s">
        <v>21</v>
      </c>
      <c r="E127" s="13" t="s">
        <v>206</v>
      </c>
      <c r="F127" s="13" t="s">
        <v>23</v>
      </c>
      <c r="G127" s="13" t="s">
        <v>235</v>
      </c>
      <c r="H127" s="13">
        <v>23.832000000000001</v>
      </c>
      <c r="I127" s="13">
        <v>3</v>
      </c>
      <c r="J127" s="13">
        <v>0.2</v>
      </c>
      <c r="K127" s="21">
        <v>2.6810999999999998</v>
      </c>
    </row>
    <row r="128" spans="1:11" x14ac:dyDescent="0.3">
      <c r="A128" s="20" t="s">
        <v>233</v>
      </c>
      <c r="B128" s="14">
        <v>42122</v>
      </c>
      <c r="C128" s="14" t="str">
        <f t="shared" si="1"/>
        <v>Apr</v>
      </c>
      <c r="D128" s="13" t="s">
        <v>21</v>
      </c>
      <c r="E128" s="13" t="s">
        <v>206</v>
      </c>
      <c r="F128" s="13" t="s">
        <v>23</v>
      </c>
      <c r="G128" s="13" t="s">
        <v>236</v>
      </c>
      <c r="H128" s="13">
        <v>12.176</v>
      </c>
      <c r="I128" s="13">
        <v>4</v>
      </c>
      <c r="J128" s="13">
        <v>0.8</v>
      </c>
      <c r="K128" s="21">
        <v>-18.872800000000002</v>
      </c>
    </row>
    <row r="129" spans="1:11" x14ac:dyDescent="0.3">
      <c r="A129" s="20" t="s">
        <v>237</v>
      </c>
      <c r="B129" s="14">
        <v>42273</v>
      </c>
      <c r="C129" s="14" t="str">
        <f t="shared" si="1"/>
        <v>Sep</v>
      </c>
      <c r="D129" s="13" t="s">
        <v>16</v>
      </c>
      <c r="E129" s="13" t="s">
        <v>238</v>
      </c>
      <c r="F129" s="13" t="s">
        <v>23</v>
      </c>
      <c r="G129" s="13" t="s">
        <v>239</v>
      </c>
      <c r="H129" s="13">
        <v>141.76</v>
      </c>
      <c r="I129" s="13">
        <v>5</v>
      </c>
      <c r="J129" s="13">
        <v>0.2</v>
      </c>
      <c r="K129" s="21">
        <v>47.844000000000001</v>
      </c>
    </row>
    <row r="130" spans="1:11" x14ac:dyDescent="0.3">
      <c r="A130" s="20" t="s">
        <v>237</v>
      </c>
      <c r="B130" s="14">
        <v>42273</v>
      </c>
      <c r="C130" s="14" t="str">
        <f t="shared" si="1"/>
        <v>Sep</v>
      </c>
      <c r="D130" s="13" t="s">
        <v>16</v>
      </c>
      <c r="E130" s="13" t="s">
        <v>238</v>
      </c>
      <c r="F130" s="13" t="s">
        <v>13</v>
      </c>
      <c r="G130" s="13" t="s">
        <v>240</v>
      </c>
      <c r="H130" s="13">
        <v>239.8</v>
      </c>
      <c r="I130" s="13">
        <v>5</v>
      </c>
      <c r="J130" s="13">
        <v>0.2</v>
      </c>
      <c r="K130" s="21">
        <v>47.96</v>
      </c>
    </row>
    <row r="131" spans="1:11" x14ac:dyDescent="0.3">
      <c r="A131" s="20" t="s">
        <v>237</v>
      </c>
      <c r="B131" s="14">
        <v>42273</v>
      </c>
      <c r="C131" s="14" t="str">
        <f t="shared" ref="C131:C194" si="2">TEXT(B131,"MMM")</f>
        <v>Sep</v>
      </c>
      <c r="D131" s="13" t="s">
        <v>16</v>
      </c>
      <c r="E131" s="13" t="s">
        <v>238</v>
      </c>
      <c r="F131" s="13" t="s">
        <v>23</v>
      </c>
      <c r="G131" s="13" t="s">
        <v>241</v>
      </c>
      <c r="H131" s="13">
        <v>31.103999999999999</v>
      </c>
      <c r="I131" s="13">
        <v>6</v>
      </c>
      <c r="J131" s="13">
        <v>0.2</v>
      </c>
      <c r="K131" s="21">
        <v>10.8864</v>
      </c>
    </row>
    <row r="132" spans="1:11" x14ac:dyDescent="0.3">
      <c r="A132" s="20" t="s">
        <v>242</v>
      </c>
      <c r="B132" s="14">
        <v>42310</v>
      </c>
      <c r="C132" s="14" t="str">
        <f t="shared" si="2"/>
        <v>Nov</v>
      </c>
      <c r="D132" s="13" t="s">
        <v>16</v>
      </c>
      <c r="E132" s="13" t="s">
        <v>58</v>
      </c>
      <c r="F132" s="13" t="s">
        <v>18</v>
      </c>
      <c r="G132" s="13" t="s">
        <v>243</v>
      </c>
      <c r="H132" s="13">
        <v>1038.8399999999999</v>
      </c>
      <c r="I132" s="13">
        <v>5</v>
      </c>
      <c r="J132" s="13">
        <v>0.2</v>
      </c>
      <c r="K132" s="21">
        <v>51.942</v>
      </c>
    </row>
    <row r="133" spans="1:11" x14ac:dyDescent="0.3">
      <c r="A133" s="20" t="s">
        <v>244</v>
      </c>
      <c r="B133" s="14">
        <v>42308</v>
      </c>
      <c r="C133" s="14" t="str">
        <f t="shared" si="2"/>
        <v>Oct</v>
      </c>
      <c r="D133" s="13" t="s">
        <v>16</v>
      </c>
      <c r="E133" s="13" t="s">
        <v>245</v>
      </c>
      <c r="F133" s="13" t="s">
        <v>23</v>
      </c>
      <c r="G133" s="13" t="s">
        <v>246</v>
      </c>
      <c r="H133" s="13">
        <v>14.28</v>
      </c>
      <c r="I133" s="13">
        <v>7</v>
      </c>
      <c r="J133" s="13">
        <v>0</v>
      </c>
      <c r="K133" s="21">
        <v>6.7115999999999998</v>
      </c>
    </row>
    <row r="134" spans="1:11" x14ac:dyDescent="0.3">
      <c r="A134" s="20" t="s">
        <v>247</v>
      </c>
      <c r="B134" s="14">
        <v>42365</v>
      </c>
      <c r="C134" s="14" t="str">
        <f t="shared" si="2"/>
        <v>Dec</v>
      </c>
      <c r="D134" s="13" t="s">
        <v>44</v>
      </c>
      <c r="E134" s="13" t="s">
        <v>248</v>
      </c>
      <c r="F134" s="13" t="s">
        <v>23</v>
      </c>
      <c r="G134" s="13" t="s">
        <v>249</v>
      </c>
      <c r="H134" s="13">
        <v>105.42</v>
      </c>
      <c r="I134" s="13">
        <v>2</v>
      </c>
      <c r="J134" s="13">
        <v>0</v>
      </c>
      <c r="K134" s="21">
        <v>51.655799999999999</v>
      </c>
    </row>
    <row r="135" spans="1:11" x14ac:dyDescent="0.3">
      <c r="A135" s="20" t="s">
        <v>250</v>
      </c>
      <c r="B135" s="14">
        <v>42332</v>
      </c>
      <c r="C135" s="14" t="str">
        <f t="shared" si="2"/>
        <v>Nov</v>
      </c>
      <c r="D135" s="13" t="s">
        <v>16</v>
      </c>
      <c r="E135" s="13" t="s">
        <v>58</v>
      </c>
      <c r="F135" s="13" t="s">
        <v>13</v>
      </c>
      <c r="G135" s="13" t="s">
        <v>251</v>
      </c>
      <c r="H135" s="13">
        <v>13.98</v>
      </c>
      <c r="I135" s="13">
        <v>2</v>
      </c>
      <c r="J135" s="13">
        <v>0</v>
      </c>
      <c r="K135" s="21">
        <v>6.1512000000000002</v>
      </c>
    </row>
    <row r="136" spans="1:11" x14ac:dyDescent="0.3">
      <c r="A136" s="20" t="s">
        <v>250</v>
      </c>
      <c r="B136" s="14">
        <v>42332</v>
      </c>
      <c r="C136" s="14" t="str">
        <f t="shared" si="2"/>
        <v>Nov</v>
      </c>
      <c r="D136" s="13" t="s">
        <v>16</v>
      </c>
      <c r="E136" s="13" t="s">
        <v>58</v>
      </c>
      <c r="F136" s="13" t="s">
        <v>23</v>
      </c>
      <c r="G136" s="13" t="s">
        <v>252</v>
      </c>
      <c r="H136" s="13">
        <v>25.824000000000002</v>
      </c>
      <c r="I136" s="13">
        <v>6</v>
      </c>
      <c r="J136" s="13">
        <v>0.2</v>
      </c>
      <c r="K136" s="21">
        <v>9.3612000000000002</v>
      </c>
    </row>
    <row r="137" spans="1:11" x14ac:dyDescent="0.3">
      <c r="A137" s="20" t="s">
        <v>250</v>
      </c>
      <c r="B137" s="14">
        <v>42332</v>
      </c>
      <c r="C137" s="14" t="str">
        <f t="shared" si="2"/>
        <v>Nov</v>
      </c>
      <c r="D137" s="13" t="s">
        <v>16</v>
      </c>
      <c r="E137" s="13" t="s">
        <v>58</v>
      </c>
      <c r="F137" s="13" t="s">
        <v>23</v>
      </c>
      <c r="G137" s="13" t="s">
        <v>253</v>
      </c>
      <c r="H137" s="13">
        <v>146.72999999999999</v>
      </c>
      <c r="I137" s="13">
        <v>3</v>
      </c>
      <c r="J137" s="13">
        <v>0</v>
      </c>
      <c r="K137" s="21">
        <v>68.963099999999997</v>
      </c>
    </row>
    <row r="138" spans="1:11" x14ac:dyDescent="0.3">
      <c r="A138" s="20" t="s">
        <v>250</v>
      </c>
      <c r="B138" s="14">
        <v>42332</v>
      </c>
      <c r="C138" s="14" t="str">
        <f t="shared" si="2"/>
        <v>Nov</v>
      </c>
      <c r="D138" s="13" t="s">
        <v>16</v>
      </c>
      <c r="E138" s="13" t="s">
        <v>58</v>
      </c>
      <c r="F138" s="13" t="s">
        <v>18</v>
      </c>
      <c r="G138" s="13" t="s">
        <v>254</v>
      </c>
      <c r="H138" s="13">
        <v>79.760000000000005</v>
      </c>
      <c r="I138" s="13">
        <v>4</v>
      </c>
      <c r="J138" s="13">
        <v>0</v>
      </c>
      <c r="K138" s="21">
        <v>22.332799999999999</v>
      </c>
    </row>
    <row r="139" spans="1:11" x14ac:dyDescent="0.3">
      <c r="A139" s="20" t="s">
        <v>255</v>
      </c>
      <c r="B139" s="14">
        <v>42353</v>
      </c>
      <c r="C139" s="14" t="str">
        <f t="shared" si="2"/>
        <v>Dec</v>
      </c>
      <c r="D139" s="13" t="s">
        <v>11</v>
      </c>
      <c r="E139" s="13" t="s">
        <v>88</v>
      </c>
      <c r="F139" s="13" t="s">
        <v>23</v>
      </c>
      <c r="G139" s="13" t="s">
        <v>256</v>
      </c>
      <c r="H139" s="13">
        <v>3.28</v>
      </c>
      <c r="I139" s="13">
        <v>1</v>
      </c>
      <c r="J139" s="13">
        <v>0</v>
      </c>
      <c r="K139" s="21">
        <v>1.4104000000000001</v>
      </c>
    </row>
    <row r="140" spans="1:11" x14ac:dyDescent="0.3">
      <c r="A140" s="20" t="s">
        <v>257</v>
      </c>
      <c r="B140" s="14">
        <v>42248</v>
      </c>
      <c r="C140" s="14" t="str">
        <f t="shared" si="2"/>
        <v>Sep</v>
      </c>
      <c r="D140" s="13" t="s">
        <v>16</v>
      </c>
      <c r="E140" s="13" t="s">
        <v>58</v>
      </c>
      <c r="F140" s="13" t="s">
        <v>23</v>
      </c>
      <c r="G140" s="13" t="s">
        <v>258</v>
      </c>
      <c r="H140" s="13">
        <v>4.7519999999999998</v>
      </c>
      <c r="I140" s="13">
        <v>1</v>
      </c>
      <c r="J140" s="13">
        <v>0.2</v>
      </c>
      <c r="K140" s="21">
        <v>1.6037999999999999</v>
      </c>
    </row>
    <row r="141" spans="1:11" x14ac:dyDescent="0.3">
      <c r="A141" s="20" t="s">
        <v>257</v>
      </c>
      <c r="B141" s="14">
        <v>42248</v>
      </c>
      <c r="C141" s="14" t="str">
        <f t="shared" si="2"/>
        <v>Sep</v>
      </c>
      <c r="D141" s="13" t="s">
        <v>16</v>
      </c>
      <c r="E141" s="13" t="s">
        <v>58</v>
      </c>
      <c r="F141" s="13" t="s">
        <v>13</v>
      </c>
      <c r="G141" s="13" t="s">
        <v>259</v>
      </c>
      <c r="H141" s="13">
        <v>959.98400000000004</v>
      </c>
      <c r="I141" s="13">
        <v>2</v>
      </c>
      <c r="J141" s="13">
        <v>0.2</v>
      </c>
      <c r="K141" s="21">
        <v>335.99439999999998</v>
      </c>
    </row>
    <row r="142" spans="1:11" x14ac:dyDescent="0.3">
      <c r="A142" s="20" t="s">
        <v>257</v>
      </c>
      <c r="B142" s="14">
        <v>42248</v>
      </c>
      <c r="C142" s="14" t="str">
        <f t="shared" si="2"/>
        <v>Sep</v>
      </c>
      <c r="D142" s="13" t="s">
        <v>16</v>
      </c>
      <c r="E142" s="13" t="s">
        <v>58</v>
      </c>
      <c r="F142" s="13" t="s">
        <v>23</v>
      </c>
      <c r="G142" s="13" t="s">
        <v>260</v>
      </c>
      <c r="H142" s="13">
        <v>14.368</v>
      </c>
      <c r="I142" s="13">
        <v>4</v>
      </c>
      <c r="J142" s="13">
        <v>0.2</v>
      </c>
      <c r="K142" s="21">
        <v>4.49</v>
      </c>
    </row>
    <row r="143" spans="1:11" x14ac:dyDescent="0.3">
      <c r="A143" s="20" t="s">
        <v>261</v>
      </c>
      <c r="B143" s="14">
        <v>42128</v>
      </c>
      <c r="C143" s="14" t="str">
        <f t="shared" si="2"/>
        <v>May</v>
      </c>
      <c r="D143" s="13" t="s">
        <v>11</v>
      </c>
      <c r="E143" s="13" t="s">
        <v>88</v>
      </c>
      <c r="F143" s="13" t="s">
        <v>18</v>
      </c>
      <c r="G143" s="13" t="s">
        <v>262</v>
      </c>
      <c r="H143" s="13">
        <v>26.8</v>
      </c>
      <c r="I143" s="13">
        <v>2</v>
      </c>
      <c r="J143" s="13">
        <v>0</v>
      </c>
      <c r="K143" s="21">
        <v>12.864000000000001</v>
      </c>
    </row>
    <row r="144" spans="1:11" x14ac:dyDescent="0.3">
      <c r="A144" s="20" t="s">
        <v>263</v>
      </c>
      <c r="B144" s="14">
        <v>42006</v>
      </c>
      <c r="C144" s="14" t="str">
        <f t="shared" si="2"/>
        <v>Jan</v>
      </c>
      <c r="D144" s="13" t="s">
        <v>11</v>
      </c>
      <c r="E144" s="13" t="s">
        <v>264</v>
      </c>
      <c r="F144" s="13" t="s">
        <v>23</v>
      </c>
      <c r="G144" s="13" t="s">
        <v>265</v>
      </c>
      <c r="H144" s="13">
        <v>23.68</v>
      </c>
      <c r="I144" s="13">
        <v>2</v>
      </c>
      <c r="J144" s="13">
        <v>0.2</v>
      </c>
      <c r="K144" s="21">
        <v>8.8800000000000008</v>
      </c>
    </row>
    <row r="145" spans="1:11" x14ac:dyDescent="0.3">
      <c r="A145" s="20" t="s">
        <v>263</v>
      </c>
      <c r="B145" s="14">
        <v>42006</v>
      </c>
      <c r="C145" s="14" t="str">
        <f t="shared" si="2"/>
        <v>Jan</v>
      </c>
      <c r="D145" s="13" t="s">
        <v>11</v>
      </c>
      <c r="E145" s="13" t="s">
        <v>264</v>
      </c>
      <c r="F145" s="13" t="s">
        <v>18</v>
      </c>
      <c r="G145" s="13" t="s">
        <v>266</v>
      </c>
      <c r="H145" s="13">
        <v>452.45</v>
      </c>
      <c r="I145" s="13">
        <v>5</v>
      </c>
      <c r="J145" s="13">
        <v>0.5</v>
      </c>
      <c r="K145" s="21">
        <v>-244.32300000000001</v>
      </c>
    </row>
    <row r="146" spans="1:11" x14ac:dyDescent="0.3">
      <c r="A146" s="20" t="s">
        <v>263</v>
      </c>
      <c r="B146" s="14">
        <v>42006</v>
      </c>
      <c r="C146" s="14" t="str">
        <f t="shared" si="2"/>
        <v>Jan</v>
      </c>
      <c r="D146" s="13" t="s">
        <v>11</v>
      </c>
      <c r="E146" s="13" t="s">
        <v>264</v>
      </c>
      <c r="F146" s="13" t="s">
        <v>13</v>
      </c>
      <c r="G146" s="13" t="s">
        <v>267</v>
      </c>
      <c r="H146" s="13">
        <v>62.981999999999999</v>
      </c>
      <c r="I146" s="13">
        <v>3</v>
      </c>
      <c r="J146" s="13">
        <v>0.4</v>
      </c>
      <c r="K146" s="21">
        <v>-14.6958</v>
      </c>
    </row>
    <row r="147" spans="1:11" x14ac:dyDescent="0.3">
      <c r="A147" s="20" t="s">
        <v>263</v>
      </c>
      <c r="B147" s="14">
        <v>42006</v>
      </c>
      <c r="C147" s="14" t="str">
        <f t="shared" si="2"/>
        <v>Jan</v>
      </c>
      <c r="D147" s="13" t="s">
        <v>11</v>
      </c>
      <c r="E147" s="13" t="s">
        <v>264</v>
      </c>
      <c r="F147" s="13" t="s">
        <v>13</v>
      </c>
      <c r="G147" s="13" t="s">
        <v>268</v>
      </c>
      <c r="H147" s="13">
        <v>1188</v>
      </c>
      <c r="I147" s="13">
        <v>9</v>
      </c>
      <c r="J147" s="13">
        <v>0.7</v>
      </c>
      <c r="K147" s="21">
        <v>-950.4</v>
      </c>
    </row>
    <row r="148" spans="1:11" x14ac:dyDescent="0.3">
      <c r="A148" s="20" t="s">
        <v>263</v>
      </c>
      <c r="B148" s="14">
        <v>42006</v>
      </c>
      <c r="C148" s="14" t="str">
        <f t="shared" si="2"/>
        <v>Jan</v>
      </c>
      <c r="D148" s="13" t="s">
        <v>11</v>
      </c>
      <c r="E148" s="13" t="s">
        <v>264</v>
      </c>
      <c r="F148" s="13" t="s">
        <v>13</v>
      </c>
      <c r="G148" s="13" t="s">
        <v>269</v>
      </c>
      <c r="H148" s="13">
        <v>89.584000000000003</v>
      </c>
      <c r="I148" s="13">
        <v>2</v>
      </c>
      <c r="J148" s="13">
        <v>0.2</v>
      </c>
      <c r="K148" s="21">
        <v>4.4791999999999996</v>
      </c>
    </row>
    <row r="149" spans="1:11" x14ac:dyDescent="0.3">
      <c r="A149" s="20" t="s">
        <v>270</v>
      </c>
      <c r="B149" s="14">
        <v>42035</v>
      </c>
      <c r="C149" s="14" t="str">
        <f t="shared" si="2"/>
        <v>Jan</v>
      </c>
      <c r="D149" s="13" t="s">
        <v>21</v>
      </c>
      <c r="E149" s="13" t="s">
        <v>271</v>
      </c>
      <c r="F149" s="13" t="s">
        <v>23</v>
      </c>
      <c r="G149" s="13" t="s">
        <v>272</v>
      </c>
      <c r="H149" s="13">
        <v>12.96</v>
      </c>
      <c r="I149" s="13">
        <v>2</v>
      </c>
      <c r="J149" s="13">
        <v>0</v>
      </c>
      <c r="K149" s="21">
        <v>6.2207999999999997</v>
      </c>
    </row>
    <row r="150" spans="1:11" x14ac:dyDescent="0.3">
      <c r="A150" s="20" t="s">
        <v>270</v>
      </c>
      <c r="B150" s="14">
        <v>42035</v>
      </c>
      <c r="C150" s="14" t="str">
        <f t="shared" si="2"/>
        <v>Jan</v>
      </c>
      <c r="D150" s="13" t="s">
        <v>21</v>
      </c>
      <c r="E150" s="13" t="s">
        <v>271</v>
      </c>
      <c r="F150" s="13" t="s">
        <v>18</v>
      </c>
      <c r="G150" s="13" t="s">
        <v>273</v>
      </c>
      <c r="H150" s="13">
        <v>53.34</v>
      </c>
      <c r="I150" s="13">
        <v>3</v>
      </c>
      <c r="J150" s="13">
        <v>0</v>
      </c>
      <c r="K150" s="21">
        <v>16.535399999999999</v>
      </c>
    </row>
    <row r="151" spans="1:11" x14ac:dyDescent="0.3">
      <c r="A151" s="20" t="s">
        <v>270</v>
      </c>
      <c r="B151" s="14">
        <v>42035</v>
      </c>
      <c r="C151" s="14" t="str">
        <f t="shared" si="2"/>
        <v>Jan</v>
      </c>
      <c r="D151" s="13" t="s">
        <v>21</v>
      </c>
      <c r="E151" s="13" t="s">
        <v>271</v>
      </c>
      <c r="F151" s="13" t="s">
        <v>23</v>
      </c>
      <c r="G151" s="13" t="s">
        <v>274</v>
      </c>
      <c r="H151" s="13">
        <v>32.96</v>
      </c>
      <c r="I151" s="13">
        <v>2</v>
      </c>
      <c r="J151" s="13">
        <v>0</v>
      </c>
      <c r="K151" s="21">
        <v>16.150400000000001</v>
      </c>
    </row>
    <row r="152" spans="1:11" x14ac:dyDescent="0.3">
      <c r="A152" s="20" t="s">
        <v>275</v>
      </c>
      <c r="B152" s="14">
        <v>42250</v>
      </c>
      <c r="C152" s="14" t="str">
        <f t="shared" si="2"/>
        <v>Sep</v>
      </c>
      <c r="D152" s="13" t="s">
        <v>44</v>
      </c>
      <c r="E152" s="13" t="s">
        <v>276</v>
      </c>
      <c r="F152" s="13" t="s">
        <v>23</v>
      </c>
      <c r="G152" s="13" t="s">
        <v>277</v>
      </c>
      <c r="H152" s="13">
        <v>200.98400000000001</v>
      </c>
      <c r="I152" s="13">
        <v>7</v>
      </c>
      <c r="J152" s="13">
        <v>0.2</v>
      </c>
      <c r="K152" s="21">
        <v>62.807499999999997</v>
      </c>
    </row>
    <row r="153" spans="1:11" x14ac:dyDescent="0.3">
      <c r="A153" s="20" t="s">
        <v>278</v>
      </c>
      <c r="B153" s="14">
        <v>42358</v>
      </c>
      <c r="C153" s="14" t="str">
        <f t="shared" si="2"/>
        <v>Dec</v>
      </c>
      <c r="D153" s="13" t="s">
        <v>11</v>
      </c>
      <c r="E153" s="13" t="s">
        <v>279</v>
      </c>
      <c r="F153" s="13" t="s">
        <v>23</v>
      </c>
      <c r="G153" s="13" t="s">
        <v>280</v>
      </c>
      <c r="H153" s="13">
        <v>55.48</v>
      </c>
      <c r="I153" s="13">
        <v>1</v>
      </c>
      <c r="J153" s="13">
        <v>0</v>
      </c>
      <c r="K153" s="21">
        <v>26.630400000000002</v>
      </c>
    </row>
    <row r="154" spans="1:11" x14ac:dyDescent="0.3">
      <c r="A154" s="20" t="s">
        <v>281</v>
      </c>
      <c r="B154" s="14">
        <v>42318</v>
      </c>
      <c r="C154" s="14" t="str">
        <f t="shared" si="2"/>
        <v>Nov</v>
      </c>
      <c r="D154" s="13" t="s">
        <v>16</v>
      </c>
      <c r="E154" s="13" t="s">
        <v>282</v>
      </c>
      <c r="F154" s="13" t="s">
        <v>13</v>
      </c>
      <c r="G154" s="13" t="s">
        <v>283</v>
      </c>
      <c r="H154" s="13">
        <v>79.900000000000006</v>
      </c>
      <c r="I154" s="13">
        <v>2</v>
      </c>
      <c r="J154" s="13">
        <v>0</v>
      </c>
      <c r="K154" s="21">
        <v>35.155999999999999</v>
      </c>
    </row>
    <row r="155" spans="1:11" x14ac:dyDescent="0.3">
      <c r="A155" s="20" t="s">
        <v>284</v>
      </c>
      <c r="B155" s="14">
        <v>42215</v>
      </c>
      <c r="C155" s="14" t="str">
        <f t="shared" si="2"/>
        <v>Jul</v>
      </c>
      <c r="D155" s="13" t="s">
        <v>16</v>
      </c>
      <c r="E155" s="13" t="s">
        <v>85</v>
      </c>
      <c r="F155" s="13" t="s">
        <v>13</v>
      </c>
      <c r="G155" s="13" t="s">
        <v>285</v>
      </c>
      <c r="H155" s="13">
        <v>209.93</v>
      </c>
      <c r="I155" s="13">
        <v>7</v>
      </c>
      <c r="J155" s="13">
        <v>0</v>
      </c>
      <c r="K155" s="21">
        <v>92.369200000000006</v>
      </c>
    </row>
    <row r="156" spans="1:11" x14ac:dyDescent="0.3">
      <c r="A156" s="20" t="s">
        <v>284</v>
      </c>
      <c r="B156" s="14">
        <v>42215</v>
      </c>
      <c r="C156" s="14" t="str">
        <f t="shared" si="2"/>
        <v>Jul</v>
      </c>
      <c r="D156" s="13" t="s">
        <v>16</v>
      </c>
      <c r="E156" s="13" t="s">
        <v>85</v>
      </c>
      <c r="F156" s="13" t="s">
        <v>18</v>
      </c>
      <c r="G156" s="13" t="s">
        <v>286</v>
      </c>
      <c r="H156" s="13">
        <v>5.28</v>
      </c>
      <c r="I156" s="13">
        <v>3</v>
      </c>
      <c r="J156" s="13">
        <v>0</v>
      </c>
      <c r="K156" s="21">
        <v>2.3231999999999999</v>
      </c>
    </row>
    <row r="157" spans="1:11" x14ac:dyDescent="0.3">
      <c r="A157" s="20" t="s">
        <v>284</v>
      </c>
      <c r="B157" s="14">
        <v>42215</v>
      </c>
      <c r="C157" s="14" t="str">
        <f t="shared" si="2"/>
        <v>Jul</v>
      </c>
      <c r="D157" s="13" t="s">
        <v>16</v>
      </c>
      <c r="E157" s="13" t="s">
        <v>85</v>
      </c>
      <c r="F157" s="13" t="s">
        <v>23</v>
      </c>
      <c r="G157" s="13" t="s">
        <v>287</v>
      </c>
      <c r="H157" s="13">
        <v>10.92</v>
      </c>
      <c r="I157" s="13">
        <v>3</v>
      </c>
      <c r="J157" s="13">
        <v>0.2</v>
      </c>
      <c r="K157" s="21">
        <v>4.0949999999999998</v>
      </c>
    </row>
    <row r="158" spans="1:11" x14ac:dyDescent="0.3">
      <c r="A158" s="20" t="s">
        <v>288</v>
      </c>
      <c r="B158" s="14">
        <v>42225</v>
      </c>
      <c r="C158" s="14" t="str">
        <f t="shared" si="2"/>
        <v>Aug</v>
      </c>
      <c r="D158" s="13" t="s">
        <v>21</v>
      </c>
      <c r="E158" s="13" t="s">
        <v>289</v>
      </c>
      <c r="F158" s="13" t="s">
        <v>23</v>
      </c>
      <c r="G158" s="13" t="s">
        <v>290</v>
      </c>
      <c r="H158" s="13">
        <v>2.2000000000000002</v>
      </c>
      <c r="I158" s="13">
        <v>1</v>
      </c>
      <c r="J158" s="13">
        <v>0</v>
      </c>
      <c r="K158" s="21">
        <v>0.96799999999999997</v>
      </c>
    </row>
    <row r="159" spans="1:11" x14ac:dyDescent="0.3">
      <c r="A159" s="20" t="s">
        <v>288</v>
      </c>
      <c r="B159" s="14">
        <v>42225</v>
      </c>
      <c r="C159" s="14" t="str">
        <f t="shared" si="2"/>
        <v>Aug</v>
      </c>
      <c r="D159" s="13" t="s">
        <v>21</v>
      </c>
      <c r="E159" s="13" t="s">
        <v>289</v>
      </c>
      <c r="F159" s="13" t="s">
        <v>18</v>
      </c>
      <c r="G159" s="13" t="s">
        <v>291</v>
      </c>
      <c r="H159" s="13">
        <v>622.45000000000005</v>
      </c>
      <c r="I159" s="13">
        <v>5</v>
      </c>
      <c r="J159" s="13">
        <v>0</v>
      </c>
      <c r="K159" s="21">
        <v>136.93899999999999</v>
      </c>
    </row>
    <row r="160" spans="1:11" x14ac:dyDescent="0.3">
      <c r="A160" s="20" t="s">
        <v>288</v>
      </c>
      <c r="B160" s="14">
        <v>42225</v>
      </c>
      <c r="C160" s="14" t="str">
        <f t="shared" si="2"/>
        <v>Aug</v>
      </c>
      <c r="D160" s="13" t="s">
        <v>21</v>
      </c>
      <c r="E160" s="13" t="s">
        <v>289</v>
      </c>
      <c r="F160" s="13" t="s">
        <v>23</v>
      </c>
      <c r="G160" s="13" t="s">
        <v>292</v>
      </c>
      <c r="H160" s="13">
        <v>21.98</v>
      </c>
      <c r="I160" s="13">
        <v>1</v>
      </c>
      <c r="J160" s="13">
        <v>0</v>
      </c>
      <c r="K160" s="21">
        <v>0.2198</v>
      </c>
    </row>
    <row r="161" spans="1:11" x14ac:dyDescent="0.3">
      <c r="A161" s="20" t="s">
        <v>293</v>
      </c>
      <c r="B161" s="14">
        <v>42362</v>
      </c>
      <c r="C161" s="14" t="str">
        <f t="shared" si="2"/>
        <v>Dec</v>
      </c>
      <c r="D161" s="13" t="s">
        <v>11</v>
      </c>
      <c r="E161" s="13" t="s">
        <v>294</v>
      </c>
      <c r="F161" s="13" t="s">
        <v>23</v>
      </c>
      <c r="G161" s="13" t="s">
        <v>295</v>
      </c>
      <c r="H161" s="13">
        <v>5.5839999999999996</v>
      </c>
      <c r="I161" s="13">
        <v>2</v>
      </c>
      <c r="J161" s="13">
        <v>0.2</v>
      </c>
      <c r="K161" s="21">
        <v>1.8148</v>
      </c>
    </row>
    <row r="162" spans="1:11" x14ac:dyDescent="0.3">
      <c r="A162" s="20" t="s">
        <v>293</v>
      </c>
      <c r="B162" s="14">
        <v>42362</v>
      </c>
      <c r="C162" s="14" t="str">
        <f t="shared" si="2"/>
        <v>Dec</v>
      </c>
      <c r="D162" s="13" t="s">
        <v>11</v>
      </c>
      <c r="E162" s="13" t="s">
        <v>294</v>
      </c>
      <c r="F162" s="13" t="s">
        <v>23</v>
      </c>
      <c r="G162" s="13" t="s">
        <v>296</v>
      </c>
      <c r="H162" s="13">
        <v>22.704000000000001</v>
      </c>
      <c r="I162" s="13">
        <v>6</v>
      </c>
      <c r="J162" s="13">
        <v>0.2</v>
      </c>
      <c r="K162" s="21">
        <v>8.2302</v>
      </c>
    </row>
    <row r="163" spans="1:11" x14ac:dyDescent="0.3">
      <c r="A163" s="20" t="s">
        <v>293</v>
      </c>
      <c r="B163" s="14">
        <v>42362</v>
      </c>
      <c r="C163" s="14" t="str">
        <f t="shared" si="2"/>
        <v>Dec</v>
      </c>
      <c r="D163" s="13" t="s">
        <v>11</v>
      </c>
      <c r="E163" s="13" t="s">
        <v>294</v>
      </c>
      <c r="F163" s="13" t="s">
        <v>23</v>
      </c>
      <c r="G163" s="13" t="s">
        <v>274</v>
      </c>
      <c r="H163" s="13">
        <v>19.776</v>
      </c>
      <c r="I163" s="13">
        <v>4</v>
      </c>
      <c r="J163" s="13">
        <v>0.7</v>
      </c>
      <c r="K163" s="21">
        <v>-13.8432</v>
      </c>
    </row>
    <row r="164" spans="1:11" x14ac:dyDescent="0.3">
      <c r="A164" s="20" t="s">
        <v>293</v>
      </c>
      <c r="B164" s="14">
        <v>42362</v>
      </c>
      <c r="C164" s="14" t="str">
        <f t="shared" si="2"/>
        <v>Dec</v>
      </c>
      <c r="D164" s="13" t="s">
        <v>11</v>
      </c>
      <c r="E164" s="13" t="s">
        <v>294</v>
      </c>
      <c r="F164" s="13" t="s">
        <v>18</v>
      </c>
      <c r="G164" s="13" t="s">
        <v>297</v>
      </c>
      <c r="H164" s="13">
        <v>72.703999999999994</v>
      </c>
      <c r="I164" s="13">
        <v>4</v>
      </c>
      <c r="J164" s="13">
        <v>0.2</v>
      </c>
      <c r="K164" s="21">
        <v>19.084800000000001</v>
      </c>
    </row>
    <row r="165" spans="1:11" x14ac:dyDescent="0.3">
      <c r="A165" s="20" t="s">
        <v>293</v>
      </c>
      <c r="B165" s="14">
        <v>42362</v>
      </c>
      <c r="C165" s="14" t="str">
        <f t="shared" si="2"/>
        <v>Dec</v>
      </c>
      <c r="D165" s="13" t="s">
        <v>11</v>
      </c>
      <c r="E165" s="13" t="s">
        <v>294</v>
      </c>
      <c r="F165" s="13" t="s">
        <v>13</v>
      </c>
      <c r="G165" s="13" t="s">
        <v>298</v>
      </c>
      <c r="H165" s="13">
        <v>479.988</v>
      </c>
      <c r="I165" s="13">
        <v>4</v>
      </c>
      <c r="J165" s="13">
        <v>0.7</v>
      </c>
      <c r="K165" s="21">
        <v>-383.99040000000002</v>
      </c>
    </row>
    <row r="166" spans="1:11" x14ac:dyDescent="0.3">
      <c r="A166" s="20" t="s">
        <v>293</v>
      </c>
      <c r="B166" s="14">
        <v>42362</v>
      </c>
      <c r="C166" s="14" t="str">
        <f t="shared" si="2"/>
        <v>Dec</v>
      </c>
      <c r="D166" s="13" t="s">
        <v>11</v>
      </c>
      <c r="E166" s="13" t="s">
        <v>294</v>
      </c>
      <c r="F166" s="13" t="s">
        <v>23</v>
      </c>
      <c r="G166" s="13" t="s">
        <v>299</v>
      </c>
      <c r="H166" s="13">
        <v>27.167999999999999</v>
      </c>
      <c r="I166" s="13">
        <v>2</v>
      </c>
      <c r="J166" s="13">
        <v>0.2</v>
      </c>
      <c r="K166" s="21">
        <v>2.7168000000000001</v>
      </c>
    </row>
    <row r="167" spans="1:11" x14ac:dyDescent="0.3">
      <c r="A167" s="20" t="s">
        <v>300</v>
      </c>
      <c r="B167" s="14">
        <v>42717</v>
      </c>
      <c r="C167" s="14" t="str">
        <f t="shared" si="2"/>
        <v>Dec</v>
      </c>
      <c r="D167" s="13" t="s">
        <v>21</v>
      </c>
      <c r="E167" s="13" t="s">
        <v>301</v>
      </c>
      <c r="F167" s="13" t="s">
        <v>13</v>
      </c>
      <c r="G167" s="13" t="s">
        <v>302</v>
      </c>
      <c r="H167" s="13">
        <v>63.88</v>
      </c>
      <c r="I167" s="13">
        <v>4</v>
      </c>
      <c r="J167" s="13">
        <v>0</v>
      </c>
      <c r="K167" s="21">
        <v>24.9132</v>
      </c>
    </row>
    <row r="168" spans="1:11" x14ac:dyDescent="0.3">
      <c r="A168" s="20" t="s">
        <v>303</v>
      </c>
      <c r="B168" s="14">
        <v>42547</v>
      </c>
      <c r="C168" s="14" t="str">
        <f t="shared" si="2"/>
        <v>Jun</v>
      </c>
      <c r="D168" s="13" t="s">
        <v>11</v>
      </c>
      <c r="E168" s="13" t="s">
        <v>88</v>
      </c>
      <c r="F168" s="13" t="s">
        <v>23</v>
      </c>
      <c r="G168" s="13" t="s">
        <v>304</v>
      </c>
      <c r="H168" s="13">
        <v>14.7</v>
      </c>
      <c r="I168" s="13">
        <v>5</v>
      </c>
      <c r="J168" s="13">
        <v>0</v>
      </c>
      <c r="K168" s="21">
        <v>6.6150000000000002</v>
      </c>
    </row>
    <row r="169" spans="1:11" x14ac:dyDescent="0.3">
      <c r="A169" s="20" t="s">
        <v>303</v>
      </c>
      <c r="B169" s="14">
        <v>42547</v>
      </c>
      <c r="C169" s="14" t="str">
        <f t="shared" si="2"/>
        <v>Jun</v>
      </c>
      <c r="D169" s="13" t="s">
        <v>11</v>
      </c>
      <c r="E169" s="13" t="s">
        <v>88</v>
      </c>
      <c r="F169" s="13" t="s">
        <v>23</v>
      </c>
      <c r="G169" s="13" t="s">
        <v>305</v>
      </c>
      <c r="H169" s="13">
        <v>704.25</v>
      </c>
      <c r="I169" s="13">
        <v>5</v>
      </c>
      <c r="J169" s="13">
        <v>0</v>
      </c>
      <c r="K169" s="21">
        <v>84.51</v>
      </c>
    </row>
    <row r="170" spans="1:11" x14ac:dyDescent="0.3">
      <c r="A170" s="20" t="s">
        <v>306</v>
      </c>
      <c r="B170" s="14">
        <v>42568</v>
      </c>
      <c r="C170" s="14" t="str">
        <f t="shared" si="2"/>
        <v>Jul</v>
      </c>
      <c r="D170" s="13" t="s">
        <v>16</v>
      </c>
      <c r="E170" s="13" t="s">
        <v>58</v>
      </c>
      <c r="F170" s="13" t="s">
        <v>23</v>
      </c>
      <c r="G170" s="13" t="s">
        <v>307</v>
      </c>
      <c r="H170" s="13">
        <v>77.88</v>
      </c>
      <c r="I170" s="13">
        <v>2</v>
      </c>
      <c r="J170" s="13">
        <v>0</v>
      </c>
      <c r="K170" s="21">
        <v>3.8940000000000001</v>
      </c>
    </row>
    <row r="171" spans="1:11" x14ac:dyDescent="0.3">
      <c r="A171" s="20" t="s">
        <v>308</v>
      </c>
      <c r="B171" s="14">
        <v>42533</v>
      </c>
      <c r="C171" s="14" t="str">
        <f t="shared" si="2"/>
        <v>Jun</v>
      </c>
      <c r="D171" s="13" t="s">
        <v>11</v>
      </c>
      <c r="E171" s="13" t="s">
        <v>150</v>
      </c>
      <c r="F171" s="13" t="s">
        <v>18</v>
      </c>
      <c r="G171" s="13" t="s">
        <v>309</v>
      </c>
      <c r="H171" s="13">
        <v>47.04</v>
      </c>
      <c r="I171" s="13">
        <v>3</v>
      </c>
      <c r="J171" s="13">
        <v>0</v>
      </c>
      <c r="K171" s="21">
        <v>18.345600000000001</v>
      </c>
    </row>
    <row r="172" spans="1:11" x14ac:dyDescent="0.3">
      <c r="A172" s="20" t="s">
        <v>308</v>
      </c>
      <c r="B172" s="14">
        <v>42533</v>
      </c>
      <c r="C172" s="14" t="str">
        <f t="shared" si="2"/>
        <v>Jun</v>
      </c>
      <c r="D172" s="13" t="s">
        <v>11</v>
      </c>
      <c r="E172" s="13" t="s">
        <v>150</v>
      </c>
      <c r="F172" s="13" t="s">
        <v>23</v>
      </c>
      <c r="G172" s="13" t="s">
        <v>62</v>
      </c>
      <c r="H172" s="13">
        <v>30.84</v>
      </c>
      <c r="I172" s="13">
        <v>4</v>
      </c>
      <c r="J172" s="13">
        <v>0</v>
      </c>
      <c r="K172" s="21">
        <v>13.878</v>
      </c>
    </row>
    <row r="173" spans="1:11" x14ac:dyDescent="0.3">
      <c r="A173" s="20" t="s">
        <v>308</v>
      </c>
      <c r="B173" s="14">
        <v>42533</v>
      </c>
      <c r="C173" s="14" t="str">
        <f t="shared" si="2"/>
        <v>Jun</v>
      </c>
      <c r="D173" s="13" t="s">
        <v>11</v>
      </c>
      <c r="E173" s="13" t="s">
        <v>150</v>
      </c>
      <c r="F173" s="13" t="s">
        <v>23</v>
      </c>
      <c r="G173" s="13" t="s">
        <v>310</v>
      </c>
      <c r="H173" s="13">
        <v>226.56</v>
      </c>
      <c r="I173" s="13">
        <v>6</v>
      </c>
      <c r="J173" s="13">
        <v>0</v>
      </c>
      <c r="K173" s="21">
        <v>63.436799999999998</v>
      </c>
    </row>
    <row r="174" spans="1:11" x14ac:dyDescent="0.3">
      <c r="A174" s="20" t="s">
        <v>308</v>
      </c>
      <c r="B174" s="14">
        <v>42533</v>
      </c>
      <c r="C174" s="14" t="str">
        <f t="shared" si="2"/>
        <v>Jun</v>
      </c>
      <c r="D174" s="13" t="s">
        <v>11</v>
      </c>
      <c r="E174" s="13" t="s">
        <v>150</v>
      </c>
      <c r="F174" s="13" t="s">
        <v>23</v>
      </c>
      <c r="G174" s="13" t="s">
        <v>311</v>
      </c>
      <c r="H174" s="13">
        <v>115.02</v>
      </c>
      <c r="I174" s="13">
        <v>9</v>
      </c>
      <c r="J174" s="13">
        <v>0</v>
      </c>
      <c r="K174" s="21">
        <v>51.759</v>
      </c>
    </row>
    <row r="175" spans="1:11" x14ac:dyDescent="0.3">
      <c r="A175" s="20" t="s">
        <v>308</v>
      </c>
      <c r="B175" s="14">
        <v>42533</v>
      </c>
      <c r="C175" s="14" t="str">
        <f t="shared" si="2"/>
        <v>Jun</v>
      </c>
      <c r="D175" s="13" t="s">
        <v>11</v>
      </c>
      <c r="E175" s="13" t="s">
        <v>150</v>
      </c>
      <c r="F175" s="13" t="s">
        <v>13</v>
      </c>
      <c r="G175" s="13" t="s">
        <v>312</v>
      </c>
      <c r="H175" s="13">
        <v>68.040000000000006</v>
      </c>
      <c r="I175" s="13">
        <v>7</v>
      </c>
      <c r="J175" s="13">
        <v>0</v>
      </c>
      <c r="K175" s="21">
        <v>19.7316</v>
      </c>
    </row>
    <row r="176" spans="1:11" x14ac:dyDescent="0.3">
      <c r="A176" s="20" t="s">
        <v>313</v>
      </c>
      <c r="B176" s="14">
        <v>42563</v>
      </c>
      <c r="C176" s="14" t="str">
        <f t="shared" si="2"/>
        <v>Jul</v>
      </c>
      <c r="D176" s="13" t="s">
        <v>16</v>
      </c>
      <c r="E176" s="13" t="s">
        <v>58</v>
      </c>
      <c r="F176" s="13" t="s">
        <v>13</v>
      </c>
      <c r="G176" s="13" t="s">
        <v>314</v>
      </c>
      <c r="H176" s="13">
        <v>95.76</v>
      </c>
      <c r="I176" s="13">
        <v>6</v>
      </c>
      <c r="J176" s="13">
        <v>0.2</v>
      </c>
      <c r="K176" s="21">
        <v>7.1820000000000004</v>
      </c>
    </row>
    <row r="177" spans="1:11" x14ac:dyDescent="0.3">
      <c r="A177" s="20" t="s">
        <v>315</v>
      </c>
      <c r="B177" s="14">
        <v>42702</v>
      </c>
      <c r="C177" s="14" t="str">
        <f t="shared" si="2"/>
        <v>Nov</v>
      </c>
      <c r="D177" s="13" t="s">
        <v>11</v>
      </c>
      <c r="E177" s="13" t="s">
        <v>316</v>
      </c>
      <c r="F177" s="13" t="s">
        <v>23</v>
      </c>
      <c r="G177" s="13" t="s">
        <v>317</v>
      </c>
      <c r="H177" s="13">
        <v>7.16</v>
      </c>
      <c r="I177" s="13">
        <v>2</v>
      </c>
      <c r="J177" s="13">
        <v>0</v>
      </c>
      <c r="K177" s="21">
        <v>3.4367999999999999</v>
      </c>
    </row>
    <row r="178" spans="1:11" x14ac:dyDescent="0.3">
      <c r="A178" s="20" t="s">
        <v>318</v>
      </c>
      <c r="B178" s="14">
        <v>42715</v>
      </c>
      <c r="C178" s="14" t="str">
        <f t="shared" si="2"/>
        <v>Dec</v>
      </c>
      <c r="D178" s="13" t="s">
        <v>11</v>
      </c>
      <c r="E178" s="13" t="s">
        <v>88</v>
      </c>
      <c r="F178" s="13" t="s">
        <v>23</v>
      </c>
      <c r="G178" s="13" t="s">
        <v>319</v>
      </c>
      <c r="H178" s="13">
        <v>15.26</v>
      </c>
      <c r="I178" s="13">
        <v>7</v>
      </c>
      <c r="J178" s="13">
        <v>0</v>
      </c>
      <c r="K178" s="21">
        <v>6.2565999999999997</v>
      </c>
    </row>
    <row r="179" spans="1:11" x14ac:dyDescent="0.3">
      <c r="A179" s="20" t="s">
        <v>318</v>
      </c>
      <c r="B179" s="14">
        <v>42715</v>
      </c>
      <c r="C179" s="14" t="str">
        <f t="shared" si="2"/>
        <v>Dec</v>
      </c>
      <c r="D179" s="13" t="s">
        <v>11</v>
      </c>
      <c r="E179" s="13" t="s">
        <v>88</v>
      </c>
      <c r="F179" s="13" t="s">
        <v>13</v>
      </c>
      <c r="G179" s="13" t="s">
        <v>320</v>
      </c>
      <c r="H179" s="13">
        <v>1029.95</v>
      </c>
      <c r="I179" s="13">
        <v>5</v>
      </c>
      <c r="J179" s="13">
        <v>0</v>
      </c>
      <c r="K179" s="21">
        <v>298.68549999999999</v>
      </c>
    </row>
    <row r="180" spans="1:11" x14ac:dyDescent="0.3">
      <c r="A180" s="20" t="s">
        <v>321</v>
      </c>
      <c r="B180" s="14">
        <v>42631</v>
      </c>
      <c r="C180" s="14" t="str">
        <f t="shared" si="2"/>
        <v>Sep</v>
      </c>
      <c r="D180" s="13" t="s">
        <v>11</v>
      </c>
      <c r="E180" s="13" t="s">
        <v>88</v>
      </c>
      <c r="F180" s="13" t="s">
        <v>23</v>
      </c>
      <c r="G180" s="13" t="s">
        <v>322</v>
      </c>
      <c r="H180" s="13">
        <v>4.6159999999999997</v>
      </c>
      <c r="I180" s="13">
        <v>1</v>
      </c>
      <c r="J180" s="13">
        <v>0.2</v>
      </c>
      <c r="K180" s="21">
        <v>1.7310000000000001</v>
      </c>
    </row>
    <row r="181" spans="1:11" x14ac:dyDescent="0.3">
      <c r="A181" s="20" t="s">
        <v>323</v>
      </c>
      <c r="B181" s="14">
        <v>42621</v>
      </c>
      <c r="C181" s="14" t="str">
        <f t="shared" si="2"/>
        <v>Sep</v>
      </c>
      <c r="D181" s="13" t="s">
        <v>21</v>
      </c>
      <c r="E181" s="13" t="s">
        <v>206</v>
      </c>
      <c r="F181" s="13" t="s">
        <v>23</v>
      </c>
      <c r="G181" s="13" t="s">
        <v>324</v>
      </c>
      <c r="H181" s="13">
        <v>35.951999999999998</v>
      </c>
      <c r="I181" s="13">
        <v>3</v>
      </c>
      <c r="J181" s="13">
        <v>0.2</v>
      </c>
      <c r="K181" s="21">
        <v>3.5952000000000002</v>
      </c>
    </row>
    <row r="182" spans="1:11" x14ac:dyDescent="0.3">
      <c r="A182" s="20" t="s">
        <v>323</v>
      </c>
      <c r="B182" s="14">
        <v>42621</v>
      </c>
      <c r="C182" s="14" t="str">
        <f t="shared" si="2"/>
        <v>Sep</v>
      </c>
      <c r="D182" s="13" t="s">
        <v>21</v>
      </c>
      <c r="E182" s="13" t="s">
        <v>206</v>
      </c>
      <c r="F182" s="13" t="s">
        <v>18</v>
      </c>
      <c r="G182" s="13" t="s">
        <v>325</v>
      </c>
      <c r="H182" s="13">
        <v>2396.2656000000002</v>
      </c>
      <c r="I182" s="13">
        <v>4</v>
      </c>
      <c r="J182" s="13">
        <v>0.32</v>
      </c>
      <c r="K182" s="21">
        <v>-317.15280000000001</v>
      </c>
    </row>
    <row r="183" spans="1:11" x14ac:dyDescent="0.3">
      <c r="A183" s="20" t="s">
        <v>323</v>
      </c>
      <c r="B183" s="14">
        <v>42621</v>
      </c>
      <c r="C183" s="14" t="str">
        <f t="shared" si="2"/>
        <v>Sep</v>
      </c>
      <c r="D183" s="13" t="s">
        <v>21</v>
      </c>
      <c r="E183" s="13" t="s">
        <v>206</v>
      </c>
      <c r="F183" s="13" t="s">
        <v>23</v>
      </c>
      <c r="G183" s="13" t="s">
        <v>326</v>
      </c>
      <c r="H183" s="13">
        <v>131.136</v>
      </c>
      <c r="I183" s="13">
        <v>4</v>
      </c>
      <c r="J183" s="13">
        <v>0.2</v>
      </c>
      <c r="K183" s="21">
        <v>-32.783999999999999</v>
      </c>
    </row>
    <row r="184" spans="1:11" x14ac:dyDescent="0.3">
      <c r="A184" s="20" t="s">
        <v>323</v>
      </c>
      <c r="B184" s="14">
        <v>42621</v>
      </c>
      <c r="C184" s="14" t="str">
        <f t="shared" si="2"/>
        <v>Sep</v>
      </c>
      <c r="D184" s="13" t="s">
        <v>21</v>
      </c>
      <c r="E184" s="13" t="s">
        <v>206</v>
      </c>
      <c r="F184" s="13" t="s">
        <v>13</v>
      </c>
      <c r="G184" s="13" t="s">
        <v>327</v>
      </c>
      <c r="H184" s="13">
        <v>57.584000000000003</v>
      </c>
      <c r="I184" s="13">
        <v>2</v>
      </c>
      <c r="J184" s="13">
        <v>0.2</v>
      </c>
      <c r="K184" s="21">
        <v>0.7198</v>
      </c>
    </row>
    <row r="185" spans="1:11" x14ac:dyDescent="0.3">
      <c r="A185" s="20" t="s">
        <v>328</v>
      </c>
      <c r="B185" s="14">
        <v>42630</v>
      </c>
      <c r="C185" s="14" t="str">
        <f t="shared" si="2"/>
        <v>Sep</v>
      </c>
      <c r="D185" s="13" t="s">
        <v>16</v>
      </c>
      <c r="E185" s="13" t="s">
        <v>58</v>
      </c>
      <c r="F185" s="13" t="s">
        <v>23</v>
      </c>
      <c r="G185" s="13" t="s">
        <v>329</v>
      </c>
      <c r="H185" s="13">
        <v>20.100000000000001</v>
      </c>
      <c r="I185" s="13">
        <v>3</v>
      </c>
      <c r="J185" s="13">
        <v>0</v>
      </c>
      <c r="K185" s="21">
        <v>6.633</v>
      </c>
    </row>
    <row r="186" spans="1:11" x14ac:dyDescent="0.3">
      <c r="A186" s="20" t="s">
        <v>328</v>
      </c>
      <c r="B186" s="14">
        <v>42630</v>
      </c>
      <c r="C186" s="14" t="str">
        <f t="shared" si="2"/>
        <v>Sep</v>
      </c>
      <c r="D186" s="13" t="s">
        <v>16</v>
      </c>
      <c r="E186" s="13" t="s">
        <v>58</v>
      </c>
      <c r="F186" s="13" t="s">
        <v>13</v>
      </c>
      <c r="G186" s="13" t="s">
        <v>165</v>
      </c>
      <c r="H186" s="13">
        <v>73.584000000000003</v>
      </c>
      <c r="I186" s="13">
        <v>2</v>
      </c>
      <c r="J186" s="13">
        <v>0.2</v>
      </c>
      <c r="K186" s="21">
        <v>8.2782</v>
      </c>
    </row>
    <row r="187" spans="1:11" x14ac:dyDescent="0.3">
      <c r="A187" s="20" t="s">
        <v>328</v>
      </c>
      <c r="B187" s="14">
        <v>42630</v>
      </c>
      <c r="C187" s="14" t="str">
        <f t="shared" si="2"/>
        <v>Sep</v>
      </c>
      <c r="D187" s="13" t="s">
        <v>16</v>
      </c>
      <c r="E187" s="13" t="s">
        <v>58</v>
      </c>
      <c r="F187" s="13" t="s">
        <v>23</v>
      </c>
      <c r="G187" s="13" t="s">
        <v>330</v>
      </c>
      <c r="H187" s="13">
        <v>6.48</v>
      </c>
      <c r="I187" s="13">
        <v>1</v>
      </c>
      <c r="J187" s="13">
        <v>0</v>
      </c>
      <c r="K187" s="21">
        <v>3.1103999999999998</v>
      </c>
    </row>
    <row r="188" spans="1:11" x14ac:dyDescent="0.3">
      <c r="A188" s="20" t="s">
        <v>331</v>
      </c>
      <c r="B188" s="14">
        <v>42482</v>
      </c>
      <c r="C188" s="14" t="str">
        <f t="shared" si="2"/>
        <v>Apr</v>
      </c>
      <c r="D188" s="13" t="s">
        <v>16</v>
      </c>
      <c r="E188" s="13" t="s">
        <v>332</v>
      </c>
      <c r="F188" s="13" t="s">
        <v>18</v>
      </c>
      <c r="G188" s="13" t="s">
        <v>333</v>
      </c>
      <c r="H188" s="13">
        <v>23.56</v>
      </c>
      <c r="I188" s="13">
        <v>5</v>
      </c>
      <c r="J188" s="13">
        <v>0.2</v>
      </c>
      <c r="K188" s="21">
        <v>7.0679999999999996</v>
      </c>
    </row>
    <row r="189" spans="1:11" x14ac:dyDescent="0.3">
      <c r="A189" s="20" t="s">
        <v>331</v>
      </c>
      <c r="B189" s="14">
        <v>42482</v>
      </c>
      <c r="C189" s="14" t="str">
        <f t="shared" si="2"/>
        <v>Apr</v>
      </c>
      <c r="D189" s="13" t="s">
        <v>16</v>
      </c>
      <c r="E189" s="13" t="s">
        <v>332</v>
      </c>
      <c r="F189" s="13" t="s">
        <v>18</v>
      </c>
      <c r="G189" s="13" t="s">
        <v>334</v>
      </c>
      <c r="H189" s="13">
        <v>1272.6300000000001</v>
      </c>
      <c r="I189" s="13">
        <v>6</v>
      </c>
      <c r="J189" s="13">
        <v>0.5</v>
      </c>
      <c r="K189" s="21">
        <v>-814.48320000000001</v>
      </c>
    </row>
    <row r="190" spans="1:11" x14ac:dyDescent="0.3">
      <c r="A190" s="20" t="s">
        <v>331</v>
      </c>
      <c r="B190" s="14">
        <v>42482</v>
      </c>
      <c r="C190" s="14" t="str">
        <f t="shared" si="2"/>
        <v>Apr</v>
      </c>
      <c r="D190" s="13" t="s">
        <v>16</v>
      </c>
      <c r="E190" s="13" t="s">
        <v>332</v>
      </c>
      <c r="F190" s="13" t="s">
        <v>23</v>
      </c>
      <c r="G190" s="13" t="s">
        <v>335</v>
      </c>
      <c r="H190" s="13">
        <v>28.484999999999999</v>
      </c>
      <c r="I190" s="13">
        <v>5</v>
      </c>
      <c r="J190" s="13">
        <v>0.7</v>
      </c>
      <c r="K190" s="21">
        <v>-20.888999999999999</v>
      </c>
    </row>
    <row r="191" spans="1:11" x14ac:dyDescent="0.3">
      <c r="A191" s="20" t="s">
        <v>331</v>
      </c>
      <c r="B191" s="14">
        <v>42482</v>
      </c>
      <c r="C191" s="14" t="str">
        <f t="shared" si="2"/>
        <v>Apr</v>
      </c>
      <c r="D191" s="13" t="s">
        <v>16</v>
      </c>
      <c r="E191" s="13" t="s">
        <v>332</v>
      </c>
      <c r="F191" s="13" t="s">
        <v>23</v>
      </c>
      <c r="G191" s="13" t="s">
        <v>336</v>
      </c>
      <c r="H191" s="13">
        <v>185.376</v>
      </c>
      <c r="I191" s="13">
        <v>2</v>
      </c>
      <c r="J191" s="13">
        <v>0.2</v>
      </c>
      <c r="K191" s="21">
        <v>-34.758000000000003</v>
      </c>
    </row>
    <row r="192" spans="1:11" x14ac:dyDescent="0.3">
      <c r="A192" s="20" t="s">
        <v>331</v>
      </c>
      <c r="B192" s="14">
        <v>42482</v>
      </c>
      <c r="C192" s="14" t="str">
        <f t="shared" si="2"/>
        <v>Apr</v>
      </c>
      <c r="D192" s="13" t="s">
        <v>16</v>
      </c>
      <c r="E192" s="13" t="s">
        <v>332</v>
      </c>
      <c r="F192" s="13" t="s">
        <v>23</v>
      </c>
      <c r="G192" s="13" t="s">
        <v>337</v>
      </c>
      <c r="H192" s="13">
        <v>78.272000000000006</v>
      </c>
      <c r="I192" s="13">
        <v>2</v>
      </c>
      <c r="J192" s="13">
        <v>0.2</v>
      </c>
      <c r="K192" s="21">
        <v>5.8704000000000001</v>
      </c>
    </row>
    <row r="193" spans="1:11" x14ac:dyDescent="0.3">
      <c r="A193" s="20" t="s">
        <v>338</v>
      </c>
      <c r="B193" s="14">
        <v>42618</v>
      </c>
      <c r="C193" s="14" t="str">
        <f t="shared" si="2"/>
        <v>Sep</v>
      </c>
      <c r="D193" s="13" t="s">
        <v>11</v>
      </c>
      <c r="E193" s="13" t="s">
        <v>77</v>
      </c>
      <c r="F193" s="13" t="s">
        <v>18</v>
      </c>
      <c r="G193" s="13" t="s">
        <v>339</v>
      </c>
      <c r="H193" s="13">
        <v>82.8</v>
      </c>
      <c r="I193" s="13">
        <v>2</v>
      </c>
      <c r="J193" s="13">
        <v>0.2</v>
      </c>
      <c r="K193" s="21">
        <v>10.35</v>
      </c>
    </row>
    <row r="194" spans="1:11" x14ac:dyDescent="0.3">
      <c r="A194" s="20" t="s">
        <v>340</v>
      </c>
      <c r="B194" s="14">
        <v>42694</v>
      </c>
      <c r="C194" s="14" t="str">
        <f t="shared" si="2"/>
        <v>Nov</v>
      </c>
      <c r="D194" s="13" t="s">
        <v>11</v>
      </c>
      <c r="E194" s="13" t="s">
        <v>52</v>
      </c>
      <c r="F194" s="13" t="s">
        <v>23</v>
      </c>
      <c r="G194" s="13" t="s">
        <v>341</v>
      </c>
      <c r="H194" s="13">
        <v>19.096</v>
      </c>
      <c r="I194" s="13">
        <v>7</v>
      </c>
      <c r="J194" s="13">
        <v>0.2</v>
      </c>
      <c r="K194" s="21">
        <v>6.6836000000000002</v>
      </c>
    </row>
    <row r="195" spans="1:11" x14ac:dyDescent="0.3">
      <c r="A195" s="20" t="s">
        <v>340</v>
      </c>
      <c r="B195" s="14">
        <v>42694</v>
      </c>
      <c r="C195" s="14" t="str">
        <f t="shared" ref="C195:C258" si="3">TEXT(B195,"MMM")</f>
        <v>Nov</v>
      </c>
      <c r="D195" s="13" t="s">
        <v>11</v>
      </c>
      <c r="E195" s="13" t="s">
        <v>52</v>
      </c>
      <c r="F195" s="13" t="s">
        <v>23</v>
      </c>
      <c r="G195" s="13" t="s">
        <v>342</v>
      </c>
      <c r="H195" s="13">
        <v>18.495999999999999</v>
      </c>
      <c r="I195" s="13">
        <v>8</v>
      </c>
      <c r="J195" s="13">
        <v>0.2</v>
      </c>
      <c r="K195" s="21">
        <v>6.2423999999999999</v>
      </c>
    </row>
    <row r="196" spans="1:11" x14ac:dyDescent="0.3">
      <c r="A196" s="20" t="s">
        <v>340</v>
      </c>
      <c r="B196" s="14">
        <v>42694</v>
      </c>
      <c r="C196" s="14" t="str">
        <f t="shared" si="3"/>
        <v>Nov</v>
      </c>
      <c r="D196" s="13" t="s">
        <v>11</v>
      </c>
      <c r="E196" s="13" t="s">
        <v>52</v>
      </c>
      <c r="F196" s="13" t="s">
        <v>13</v>
      </c>
      <c r="G196" s="13" t="s">
        <v>343</v>
      </c>
      <c r="H196" s="13">
        <v>255.98400000000001</v>
      </c>
      <c r="I196" s="13">
        <v>2</v>
      </c>
      <c r="J196" s="13">
        <v>0.2</v>
      </c>
      <c r="K196" s="21">
        <v>54.396599999999999</v>
      </c>
    </row>
    <row r="197" spans="1:11" x14ac:dyDescent="0.3">
      <c r="A197" s="20" t="s">
        <v>340</v>
      </c>
      <c r="B197" s="14">
        <v>42694</v>
      </c>
      <c r="C197" s="14" t="str">
        <f t="shared" si="3"/>
        <v>Nov</v>
      </c>
      <c r="D197" s="13" t="s">
        <v>11</v>
      </c>
      <c r="E197" s="13" t="s">
        <v>52</v>
      </c>
      <c r="F197" s="13" t="s">
        <v>18</v>
      </c>
      <c r="G197" s="13" t="s">
        <v>344</v>
      </c>
      <c r="H197" s="13">
        <v>86.97</v>
      </c>
      <c r="I197" s="13">
        <v>3</v>
      </c>
      <c r="J197" s="13">
        <v>0.5</v>
      </c>
      <c r="K197" s="21">
        <v>-48.703200000000002</v>
      </c>
    </row>
    <row r="198" spans="1:11" x14ac:dyDescent="0.3">
      <c r="A198" s="20" t="s">
        <v>345</v>
      </c>
      <c r="B198" s="14">
        <v>42391</v>
      </c>
      <c r="C198" s="14" t="str">
        <f t="shared" si="3"/>
        <v>Jan</v>
      </c>
      <c r="D198" s="13" t="s">
        <v>11</v>
      </c>
      <c r="E198" s="13" t="s">
        <v>346</v>
      </c>
      <c r="F198" s="13" t="s">
        <v>23</v>
      </c>
      <c r="G198" s="13" t="s">
        <v>347</v>
      </c>
      <c r="H198" s="13">
        <v>7.56</v>
      </c>
      <c r="I198" s="13">
        <v>6</v>
      </c>
      <c r="J198" s="13">
        <v>0</v>
      </c>
      <c r="K198" s="21">
        <v>0.3024</v>
      </c>
    </row>
    <row r="199" spans="1:11" x14ac:dyDescent="0.3">
      <c r="A199" s="20" t="s">
        <v>348</v>
      </c>
      <c r="B199" s="14">
        <v>42538</v>
      </c>
      <c r="C199" s="14" t="str">
        <f t="shared" si="3"/>
        <v>Jun</v>
      </c>
      <c r="D199" s="13" t="s">
        <v>11</v>
      </c>
      <c r="E199" s="13" t="s">
        <v>349</v>
      </c>
      <c r="F199" s="13" t="s">
        <v>23</v>
      </c>
      <c r="G199" s="13" t="s">
        <v>350</v>
      </c>
      <c r="H199" s="13">
        <v>208.56</v>
      </c>
      <c r="I199" s="13">
        <v>6</v>
      </c>
      <c r="J199" s="13">
        <v>0</v>
      </c>
      <c r="K199" s="21">
        <v>52.14</v>
      </c>
    </row>
    <row r="200" spans="1:11" x14ac:dyDescent="0.3">
      <c r="A200" s="20" t="s">
        <v>348</v>
      </c>
      <c r="B200" s="14">
        <v>42538</v>
      </c>
      <c r="C200" s="14" t="str">
        <f t="shared" si="3"/>
        <v>Jun</v>
      </c>
      <c r="D200" s="13" t="s">
        <v>11</v>
      </c>
      <c r="E200" s="13" t="s">
        <v>349</v>
      </c>
      <c r="F200" s="13" t="s">
        <v>23</v>
      </c>
      <c r="G200" s="13" t="s">
        <v>351</v>
      </c>
      <c r="H200" s="13">
        <v>32.4</v>
      </c>
      <c r="I200" s="13">
        <v>5</v>
      </c>
      <c r="J200" s="13">
        <v>0</v>
      </c>
      <c r="K200" s="21">
        <v>15.552</v>
      </c>
    </row>
    <row r="201" spans="1:11" x14ac:dyDescent="0.3">
      <c r="A201" s="20" t="s">
        <v>348</v>
      </c>
      <c r="B201" s="14">
        <v>42538</v>
      </c>
      <c r="C201" s="14" t="str">
        <f t="shared" si="3"/>
        <v>Jun</v>
      </c>
      <c r="D201" s="13" t="s">
        <v>11</v>
      </c>
      <c r="E201" s="13" t="s">
        <v>349</v>
      </c>
      <c r="F201" s="13" t="s">
        <v>18</v>
      </c>
      <c r="G201" s="13" t="s">
        <v>352</v>
      </c>
      <c r="H201" s="13">
        <v>319.41000000000003</v>
      </c>
      <c r="I201" s="13">
        <v>5</v>
      </c>
      <c r="J201" s="13">
        <v>0.1</v>
      </c>
      <c r="K201" s="21">
        <v>7.0979999999999999</v>
      </c>
    </row>
    <row r="202" spans="1:11" x14ac:dyDescent="0.3">
      <c r="A202" s="20" t="s">
        <v>348</v>
      </c>
      <c r="B202" s="14">
        <v>42538</v>
      </c>
      <c r="C202" s="14" t="str">
        <f t="shared" si="3"/>
        <v>Jun</v>
      </c>
      <c r="D202" s="13" t="s">
        <v>11</v>
      </c>
      <c r="E202" s="13" t="s">
        <v>349</v>
      </c>
      <c r="F202" s="13" t="s">
        <v>23</v>
      </c>
      <c r="G202" s="13" t="s">
        <v>353</v>
      </c>
      <c r="H202" s="13">
        <v>14.56</v>
      </c>
      <c r="I202" s="13">
        <v>2</v>
      </c>
      <c r="J202" s="13">
        <v>0</v>
      </c>
      <c r="K202" s="21">
        <v>6.9888000000000003</v>
      </c>
    </row>
    <row r="203" spans="1:11" x14ac:dyDescent="0.3">
      <c r="A203" s="20" t="s">
        <v>348</v>
      </c>
      <c r="B203" s="14">
        <v>42538</v>
      </c>
      <c r="C203" s="14" t="str">
        <f t="shared" si="3"/>
        <v>Jun</v>
      </c>
      <c r="D203" s="13" t="s">
        <v>11</v>
      </c>
      <c r="E203" s="13" t="s">
        <v>349</v>
      </c>
      <c r="F203" s="13" t="s">
        <v>13</v>
      </c>
      <c r="G203" s="13" t="s">
        <v>354</v>
      </c>
      <c r="H203" s="13">
        <v>30</v>
      </c>
      <c r="I203" s="13">
        <v>2</v>
      </c>
      <c r="J203" s="13">
        <v>0</v>
      </c>
      <c r="K203" s="21">
        <v>3.3</v>
      </c>
    </row>
    <row r="204" spans="1:11" x14ac:dyDescent="0.3">
      <c r="A204" s="20" t="s">
        <v>348</v>
      </c>
      <c r="B204" s="14">
        <v>42538</v>
      </c>
      <c r="C204" s="14" t="str">
        <f t="shared" si="3"/>
        <v>Jun</v>
      </c>
      <c r="D204" s="13" t="s">
        <v>11</v>
      </c>
      <c r="E204" s="13" t="s">
        <v>349</v>
      </c>
      <c r="F204" s="13" t="s">
        <v>23</v>
      </c>
      <c r="G204" s="13" t="s">
        <v>355</v>
      </c>
      <c r="H204" s="13">
        <v>48.48</v>
      </c>
      <c r="I204" s="13">
        <v>4</v>
      </c>
      <c r="J204" s="13">
        <v>0.2</v>
      </c>
      <c r="K204" s="21">
        <v>16.361999999999998</v>
      </c>
    </row>
    <row r="205" spans="1:11" x14ac:dyDescent="0.3">
      <c r="A205" s="20" t="s">
        <v>348</v>
      </c>
      <c r="B205" s="14">
        <v>42538</v>
      </c>
      <c r="C205" s="14" t="str">
        <f t="shared" si="3"/>
        <v>Jun</v>
      </c>
      <c r="D205" s="13" t="s">
        <v>11</v>
      </c>
      <c r="E205" s="13" t="s">
        <v>349</v>
      </c>
      <c r="F205" s="13" t="s">
        <v>23</v>
      </c>
      <c r="G205" s="13" t="s">
        <v>356</v>
      </c>
      <c r="H205" s="13">
        <v>1.68</v>
      </c>
      <c r="I205" s="13">
        <v>1</v>
      </c>
      <c r="J205" s="13">
        <v>0</v>
      </c>
      <c r="K205" s="21">
        <v>0.84</v>
      </c>
    </row>
    <row r="206" spans="1:11" x14ac:dyDescent="0.3">
      <c r="A206" s="20" t="s">
        <v>357</v>
      </c>
      <c r="B206" s="14">
        <v>42722</v>
      </c>
      <c r="C206" s="14" t="str">
        <f t="shared" si="3"/>
        <v>Dec</v>
      </c>
      <c r="D206" s="13" t="s">
        <v>44</v>
      </c>
      <c r="E206" s="13" t="s">
        <v>358</v>
      </c>
      <c r="F206" s="13" t="s">
        <v>23</v>
      </c>
      <c r="G206" s="13" t="s">
        <v>359</v>
      </c>
      <c r="H206" s="13">
        <v>254.05799999999999</v>
      </c>
      <c r="I206" s="13">
        <v>7</v>
      </c>
      <c r="J206" s="13">
        <v>0.7</v>
      </c>
      <c r="K206" s="21">
        <v>-169.37200000000001</v>
      </c>
    </row>
    <row r="207" spans="1:11" x14ac:dyDescent="0.3">
      <c r="A207" s="20" t="s">
        <v>357</v>
      </c>
      <c r="B207" s="14">
        <v>42722</v>
      </c>
      <c r="C207" s="14" t="str">
        <f t="shared" si="3"/>
        <v>Dec</v>
      </c>
      <c r="D207" s="13" t="s">
        <v>44</v>
      </c>
      <c r="E207" s="13" t="s">
        <v>358</v>
      </c>
      <c r="F207" s="13" t="s">
        <v>23</v>
      </c>
      <c r="G207" s="13" t="s">
        <v>360</v>
      </c>
      <c r="H207" s="13">
        <v>194.52799999999999</v>
      </c>
      <c r="I207" s="13">
        <v>2</v>
      </c>
      <c r="J207" s="13">
        <v>0.2</v>
      </c>
      <c r="K207" s="21">
        <v>24.315999999999999</v>
      </c>
    </row>
    <row r="208" spans="1:11" x14ac:dyDescent="0.3">
      <c r="A208" s="20" t="s">
        <v>357</v>
      </c>
      <c r="B208" s="14">
        <v>42722</v>
      </c>
      <c r="C208" s="14" t="str">
        <f t="shared" si="3"/>
        <v>Dec</v>
      </c>
      <c r="D208" s="13" t="s">
        <v>44</v>
      </c>
      <c r="E208" s="13" t="s">
        <v>358</v>
      </c>
      <c r="F208" s="13" t="s">
        <v>23</v>
      </c>
      <c r="G208" s="13" t="s">
        <v>361</v>
      </c>
      <c r="H208" s="13">
        <v>961.48</v>
      </c>
      <c r="I208" s="13">
        <v>5</v>
      </c>
      <c r="J208" s="13">
        <v>0.2</v>
      </c>
      <c r="K208" s="21">
        <v>-204.31450000000001</v>
      </c>
    </row>
    <row r="209" spans="1:11" x14ac:dyDescent="0.3">
      <c r="A209" s="20" t="s">
        <v>362</v>
      </c>
      <c r="B209" s="14">
        <v>42681</v>
      </c>
      <c r="C209" s="14" t="str">
        <f t="shared" si="3"/>
        <v>Nov</v>
      </c>
      <c r="D209" s="13" t="s">
        <v>16</v>
      </c>
      <c r="E209" s="13" t="s">
        <v>17</v>
      </c>
      <c r="F209" s="13" t="s">
        <v>23</v>
      </c>
      <c r="G209" s="13" t="s">
        <v>363</v>
      </c>
      <c r="H209" s="13">
        <v>27.68</v>
      </c>
      <c r="I209" s="13">
        <v>2</v>
      </c>
      <c r="J209" s="13">
        <v>0.2</v>
      </c>
      <c r="K209" s="21">
        <v>9.6880000000000006</v>
      </c>
    </row>
    <row r="210" spans="1:11" x14ac:dyDescent="0.3">
      <c r="A210" s="20" t="s">
        <v>364</v>
      </c>
      <c r="B210" s="14">
        <v>42694</v>
      </c>
      <c r="C210" s="14" t="str">
        <f t="shared" si="3"/>
        <v>Nov</v>
      </c>
      <c r="D210" s="13" t="s">
        <v>21</v>
      </c>
      <c r="E210" s="13" t="s">
        <v>365</v>
      </c>
      <c r="F210" s="13" t="s">
        <v>23</v>
      </c>
      <c r="G210" s="13" t="s">
        <v>366</v>
      </c>
      <c r="H210" s="13">
        <v>14.62</v>
      </c>
      <c r="I210" s="13">
        <v>2</v>
      </c>
      <c r="J210" s="13">
        <v>0</v>
      </c>
      <c r="K210" s="21">
        <v>6.8714000000000004</v>
      </c>
    </row>
    <row r="211" spans="1:11" x14ac:dyDescent="0.3">
      <c r="A211" s="20" t="s">
        <v>364</v>
      </c>
      <c r="B211" s="14">
        <v>42694</v>
      </c>
      <c r="C211" s="14" t="str">
        <f t="shared" si="3"/>
        <v>Nov</v>
      </c>
      <c r="D211" s="13" t="s">
        <v>21</v>
      </c>
      <c r="E211" s="13" t="s">
        <v>365</v>
      </c>
      <c r="F211" s="13" t="s">
        <v>13</v>
      </c>
      <c r="G211" s="13" t="s">
        <v>367</v>
      </c>
      <c r="H211" s="13">
        <v>944.93</v>
      </c>
      <c r="I211" s="13">
        <v>7</v>
      </c>
      <c r="J211" s="13">
        <v>0</v>
      </c>
      <c r="K211" s="21">
        <v>236.23249999999999</v>
      </c>
    </row>
    <row r="212" spans="1:11" x14ac:dyDescent="0.3">
      <c r="A212" s="20" t="s">
        <v>368</v>
      </c>
      <c r="B212" s="14">
        <v>42709</v>
      </c>
      <c r="C212" s="14" t="str">
        <f t="shared" si="3"/>
        <v>Dec</v>
      </c>
      <c r="D212" s="13" t="s">
        <v>21</v>
      </c>
      <c r="E212" s="13" t="s">
        <v>369</v>
      </c>
      <c r="F212" s="13" t="s">
        <v>13</v>
      </c>
      <c r="G212" s="13" t="s">
        <v>370</v>
      </c>
      <c r="H212" s="13">
        <v>384.45</v>
      </c>
      <c r="I212" s="13">
        <v>11</v>
      </c>
      <c r="J212" s="13">
        <v>0</v>
      </c>
      <c r="K212" s="21">
        <v>103.8015</v>
      </c>
    </row>
    <row r="213" spans="1:11" x14ac:dyDescent="0.3">
      <c r="A213" s="20" t="s">
        <v>368</v>
      </c>
      <c r="B213" s="14">
        <v>42709</v>
      </c>
      <c r="C213" s="14" t="str">
        <f t="shared" si="3"/>
        <v>Dec</v>
      </c>
      <c r="D213" s="13" t="s">
        <v>21</v>
      </c>
      <c r="E213" s="13" t="s">
        <v>369</v>
      </c>
      <c r="F213" s="13" t="s">
        <v>13</v>
      </c>
      <c r="G213" s="13" t="s">
        <v>371</v>
      </c>
      <c r="H213" s="13">
        <v>149.97</v>
      </c>
      <c r="I213" s="13">
        <v>3</v>
      </c>
      <c r="J213" s="13">
        <v>0</v>
      </c>
      <c r="K213" s="21">
        <v>5.9988000000000001</v>
      </c>
    </row>
    <row r="214" spans="1:11" x14ac:dyDescent="0.3">
      <c r="A214" s="20" t="s">
        <v>368</v>
      </c>
      <c r="B214" s="14">
        <v>42709</v>
      </c>
      <c r="C214" s="14" t="str">
        <f t="shared" si="3"/>
        <v>Dec</v>
      </c>
      <c r="D214" s="13" t="s">
        <v>21</v>
      </c>
      <c r="E214" s="13" t="s">
        <v>369</v>
      </c>
      <c r="F214" s="13" t="s">
        <v>18</v>
      </c>
      <c r="G214" s="13" t="s">
        <v>372</v>
      </c>
      <c r="H214" s="13">
        <v>1951.84</v>
      </c>
      <c r="I214" s="13">
        <v>8</v>
      </c>
      <c r="J214" s="13">
        <v>0</v>
      </c>
      <c r="K214" s="21">
        <v>585.55200000000002</v>
      </c>
    </row>
    <row r="215" spans="1:11" x14ac:dyDescent="0.3">
      <c r="A215" s="20" t="s">
        <v>368</v>
      </c>
      <c r="B215" s="14">
        <v>42709</v>
      </c>
      <c r="C215" s="14" t="str">
        <f t="shared" si="3"/>
        <v>Dec</v>
      </c>
      <c r="D215" s="13" t="s">
        <v>21</v>
      </c>
      <c r="E215" s="13" t="s">
        <v>369</v>
      </c>
      <c r="F215" s="13" t="s">
        <v>23</v>
      </c>
      <c r="G215" s="13" t="s">
        <v>373</v>
      </c>
      <c r="H215" s="13">
        <v>171.55</v>
      </c>
      <c r="I215" s="13">
        <v>5</v>
      </c>
      <c r="J215" s="13">
        <v>0</v>
      </c>
      <c r="K215" s="21">
        <v>80.628500000000003</v>
      </c>
    </row>
    <row r="216" spans="1:11" x14ac:dyDescent="0.3">
      <c r="A216" s="20" t="s">
        <v>374</v>
      </c>
      <c r="B216" s="14">
        <v>42618</v>
      </c>
      <c r="C216" s="14" t="str">
        <f t="shared" si="3"/>
        <v>Sep</v>
      </c>
      <c r="D216" s="13" t="s">
        <v>21</v>
      </c>
      <c r="E216" s="13" t="s">
        <v>289</v>
      </c>
      <c r="F216" s="13" t="s">
        <v>18</v>
      </c>
      <c r="G216" s="13" t="s">
        <v>375</v>
      </c>
      <c r="H216" s="13">
        <v>12.22</v>
      </c>
      <c r="I216" s="13">
        <v>1</v>
      </c>
      <c r="J216" s="13">
        <v>0</v>
      </c>
      <c r="K216" s="21">
        <v>3.6659999999999999</v>
      </c>
    </row>
    <row r="217" spans="1:11" x14ac:dyDescent="0.3">
      <c r="A217" s="20" t="s">
        <v>374</v>
      </c>
      <c r="B217" s="14">
        <v>42618</v>
      </c>
      <c r="C217" s="14" t="str">
        <f t="shared" si="3"/>
        <v>Sep</v>
      </c>
      <c r="D217" s="13" t="s">
        <v>21</v>
      </c>
      <c r="E217" s="13" t="s">
        <v>289</v>
      </c>
      <c r="F217" s="13" t="s">
        <v>23</v>
      </c>
      <c r="G217" s="13" t="s">
        <v>376</v>
      </c>
      <c r="H217" s="13">
        <v>194.94</v>
      </c>
      <c r="I217" s="13">
        <v>3</v>
      </c>
      <c r="J217" s="13">
        <v>0</v>
      </c>
      <c r="K217" s="21">
        <v>23.392800000000001</v>
      </c>
    </row>
    <row r="218" spans="1:11" x14ac:dyDescent="0.3">
      <c r="A218" s="20" t="s">
        <v>374</v>
      </c>
      <c r="B218" s="14">
        <v>42618</v>
      </c>
      <c r="C218" s="14" t="str">
        <f t="shared" si="3"/>
        <v>Sep</v>
      </c>
      <c r="D218" s="13" t="s">
        <v>21</v>
      </c>
      <c r="E218" s="13" t="s">
        <v>289</v>
      </c>
      <c r="F218" s="13" t="s">
        <v>23</v>
      </c>
      <c r="G218" s="13" t="s">
        <v>377</v>
      </c>
      <c r="H218" s="13">
        <v>70.95</v>
      </c>
      <c r="I218" s="13">
        <v>3</v>
      </c>
      <c r="J218" s="13">
        <v>0</v>
      </c>
      <c r="K218" s="21">
        <v>20.575500000000002</v>
      </c>
    </row>
    <row r="219" spans="1:11" x14ac:dyDescent="0.3">
      <c r="A219" s="20" t="s">
        <v>374</v>
      </c>
      <c r="B219" s="14">
        <v>42618</v>
      </c>
      <c r="C219" s="14" t="str">
        <f t="shared" si="3"/>
        <v>Sep</v>
      </c>
      <c r="D219" s="13" t="s">
        <v>21</v>
      </c>
      <c r="E219" s="13" t="s">
        <v>289</v>
      </c>
      <c r="F219" s="13" t="s">
        <v>23</v>
      </c>
      <c r="G219" s="13" t="s">
        <v>378</v>
      </c>
      <c r="H219" s="13">
        <v>91.36</v>
      </c>
      <c r="I219" s="13">
        <v>4</v>
      </c>
      <c r="J219" s="13">
        <v>0</v>
      </c>
      <c r="K219" s="21">
        <v>42.025599999999997</v>
      </c>
    </row>
    <row r="220" spans="1:11" x14ac:dyDescent="0.3">
      <c r="A220" s="20" t="s">
        <v>374</v>
      </c>
      <c r="B220" s="14">
        <v>42618</v>
      </c>
      <c r="C220" s="14" t="str">
        <f t="shared" si="3"/>
        <v>Sep</v>
      </c>
      <c r="D220" s="13" t="s">
        <v>21</v>
      </c>
      <c r="E220" s="13" t="s">
        <v>289</v>
      </c>
      <c r="F220" s="13" t="s">
        <v>18</v>
      </c>
      <c r="G220" s="13" t="s">
        <v>379</v>
      </c>
      <c r="H220" s="13">
        <v>242.94</v>
      </c>
      <c r="I220" s="13">
        <v>3</v>
      </c>
      <c r="J220" s="13">
        <v>0</v>
      </c>
      <c r="K220" s="21">
        <v>29.152799999999999</v>
      </c>
    </row>
    <row r="221" spans="1:11" x14ac:dyDescent="0.3">
      <c r="A221" s="20" t="s">
        <v>374</v>
      </c>
      <c r="B221" s="14">
        <v>42618</v>
      </c>
      <c r="C221" s="14" t="str">
        <f t="shared" si="3"/>
        <v>Sep</v>
      </c>
      <c r="D221" s="13" t="s">
        <v>21</v>
      </c>
      <c r="E221" s="13" t="s">
        <v>289</v>
      </c>
      <c r="F221" s="13" t="s">
        <v>23</v>
      </c>
      <c r="G221" s="13" t="s">
        <v>380</v>
      </c>
      <c r="H221" s="13">
        <v>22.05</v>
      </c>
      <c r="I221" s="13">
        <v>7</v>
      </c>
      <c r="J221" s="13">
        <v>0</v>
      </c>
      <c r="K221" s="21">
        <v>10.584</v>
      </c>
    </row>
    <row r="222" spans="1:11" x14ac:dyDescent="0.3">
      <c r="A222" s="20" t="s">
        <v>381</v>
      </c>
      <c r="B222" s="14">
        <v>42712</v>
      </c>
      <c r="C222" s="14" t="str">
        <f t="shared" si="3"/>
        <v>Dec</v>
      </c>
      <c r="D222" s="13" t="s">
        <v>21</v>
      </c>
      <c r="E222" s="13" t="s">
        <v>382</v>
      </c>
      <c r="F222" s="13" t="s">
        <v>13</v>
      </c>
      <c r="G222" s="13" t="s">
        <v>383</v>
      </c>
      <c r="H222" s="13">
        <v>1097.5440000000001</v>
      </c>
      <c r="I222" s="13">
        <v>7</v>
      </c>
      <c r="J222" s="13">
        <v>0.2</v>
      </c>
      <c r="K222" s="21">
        <v>123.47369999999999</v>
      </c>
    </row>
    <row r="223" spans="1:11" x14ac:dyDescent="0.3">
      <c r="A223" s="20" t="s">
        <v>381</v>
      </c>
      <c r="B223" s="14">
        <v>42712</v>
      </c>
      <c r="C223" s="14" t="str">
        <f t="shared" si="3"/>
        <v>Dec</v>
      </c>
      <c r="D223" s="13" t="s">
        <v>21</v>
      </c>
      <c r="E223" s="13" t="s">
        <v>382</v>
      </c>
      <c r="F223" s="13" t="s">
        <v>18</v>
      </c>
      <c r="G223" s="13" t="s">
        <v>384</v>
      </c>
      <c r="H223" s="13">
        <v>190.92</v>
      </c>
      <c r="I223" s="13">
        <v>5</v>
      </c>
      <c r="J223" s="13">
        <v>0.6</v>
      </c>
      <c r="K223" s="21">
        <v>-147.96299999999999</v>
      </c>
    </row>
    <row r="224" spans="1:11" x14ac:dyDescent="0.3">
      <c r="A224" s="20" t="s">
        <v>385</v>
      </c>
      <c r="B224" s="14">
        <v>42440</v>
      </c>
      <c r="C224" s="14" t="str">
        <f t="shared" si="3"/>
        <v>Mar</v>
      </c>
      <c r="D224" s="13" t="s">
        <v>21</v>
      </c>
      <c r="E224" s="13" t="s">
        <v>386</v>
      </c>
      <c r="F224" s="13" t="s">
        <v>13</v>
      </c>
      <c r="G224" s="13" t="s">
        <v>387</v>
      </c>
      <c r="H224" s="13">
        <v>45.98</v>
      </c>
      <c r="I224" s="13">
        <v>2</v>
      </c>
      <c r="J224" s="13">
        <v>0</v>
      </c>
      <c r="K224" s="21">
        <v>19.7714</v>
      </c>
    </row>
    <row r="225" spans="1:11" x14ac:dyDescent="0.3">
      <c r="A225" s="20" t="s">
        <v>385</v>
      </c>
      <c r="B225" s="14">
        <v>42440</v>
      </c>
      <c r="C225" s="14" t="str">
        <f t="shared" si="3"/>
        <v>Mar</v>
      </c>
      <c r="D225" s="13" t="s">
        <v>21</v>
      </c>
      <c r="E225" s="13" t="s">
        <v>386</v>
      </c>
      <c r="F225" s="13" t="s">
        <v>23</v>
      </c>
      <c r="G225" s="13" t="s">
        <v>388</v>
      </c>
      <c r="H225" s="13">
        <v>17.46</v>
      </c>
      <c r="I225" s="13">
        <v>2</v>
      </c>
      <c r="J225" s="13">
        <v>0</v>
      </c>
      <c r="K225" s="21">
        <v>8.2062000000000008</v>
      </c>
    </row>
    <row r="226" spans="1:11" x14ac:dyDescent="0.3">
      <c r="A226" s="20" t="s">
        <v>389</v>
      </c>
      <c r="B226" s="14">
        <v>42525</v>
      </c>
      <c r="C226" s="14" t="str">
        <f t="shared" si="3"/>
        <v>Jun</v>
      </c>
      <c r="D226" s="13" t="s">
        <v>44</v>
      </c>
      <c r="E226" s="13" t="s">
        <v>390</v>
      </c>
      <c r="F226" s="13" t="s">
        <v>23</v>
      </c>
      <c r="G226" s="13" t="s">
        <v>391</v>
      </c>
      <c r="H226" s="13">
        <v>75.88</v>
      </c>
      <c r="I226" s="13">
        <v>2</v>
      </c>
      <c r="J226" s="13">
        <v>0</v>
      </c>
      <c r="K226" s="21">
        <v>35.663600000000002</v>
      </c>
    </row>
    <row r="227" spans="1:11" x14ac:dyDescent="0.3">
      <c r="A227" s="20" t="s">
        <v>392</v>
      </c>
      <c r="B227" s="14">
        <v>42385</v>
      </c>
      <c r="C227" s="14" t="str">
        <f t="shared" si="3"/>
        <v>Jan</v>
      </c>
      <c r="D227" s="13" t="s">
        <v>16</v>
      </c>
      <c r="E227" s="13" t="s">
        <v>58</v>
      </c>
      <c r="F227" s="13" t="s">
        <v>23</v>
      </c>
      <c r="G227" s="13" t="s">
        <v>393</v>
      </c>
      <c r="H227" s="13">
        <v>11.648</v>
      </c>
      <c r="I227" s="13">
        <v>2</v>
      </c>
      <c r="J227" s="13">
        <v>0.2</v>
      </c>
      <c r="K227" s="21">
        <v>4.2224000000000004</v>
      </c>
    </row>
    <row r="228" spans="1:11" x14ac:dyDescent="0.3">
      <c r="A228" s="20" t="s">
        <v>392</v>
      </c>
      <c r="B228" s="14">
        <v>42385</v>
      </c>
      <c r="C228" s="14" t="str">
        <f t="shared" si="3"/>
        <v>Jan</v>
      </c>
      <c r="D228" s="13" t="s">
        <v>16</v>
      </c>
      <c r="E228" s="13" t="s">
        <v>58</v>
      </c>
      <c r="F228" s="13" t="s">
        <v>13</v>
      </c>
      <c r="G228" s="13" t="s">
        <v>394</v>
      </c>
      <c r="H228" s="13">
        <v>90.57</v>
      </c>
      <c r="I228" s="13">
        <v>3</v>
      </c>
      <c r="J228" s="13">
        <v>0</v>
      </c>
      <c r="K228" s="21">
        <v>11.774100000000001</v>
      </c>
    </row>
    <row r="229" spans="1:11" x14ac:dyDescent="0.3">
      <c r="A229" s="20" t="s">
        <v>395</v>
      </c>
      <c r="B229" s="14">
        <v>42527</v>
      </c>
      <c r="C229" s="14" t="str">
        <f t="shared" si="3"/>
        <v>Jun</v>
      </c>
      <c r="D229" s="13" t="s">
        <v>21</v>
      </c>
      <c r="E229" s="13" t="s">
        <v>147</v>
      </c>
      <c r="F229" s="13" t="s">
        <v>13</v>
      </c>
      <c r="G229" s="13" t="s">
        <v>396</v>
      </c>
      <c r="H229" s="13">
        <v>328.22399999999999</v>
      </c>
      <c r="I229" s="13">
        <v>4</v>
      </c>
      <c r="J229" s="13">
        <v>0.2</v>
      </c>
      <c r="K229" s="21">
        <v>28.7196</v>
      </c>
    </row>
    <row r="230" spans="1:11" x14ac:dyDescent="0.3">
      <c r="A230" s="20" t="s">
        <v>397</v>
      </c>
      <c r="B230" s="14">
        <v>42576</v>
      </c>
      <c r="C230" s="14" t="str">
        <f t="shared" si="3"/>
        <v>Jul</v>
      </c>
      <c r="D230" s="13" t="s">
        <v>16</v>
      </c>
      <c r="E230" s="13" t="s">
        <v>398</v>
      </c>
      <c r="F230" s="13" t="s">
        <v>23</v>
      </c>
      <c r="G230" s="13" t="s">
        <v>399</v>
      </c>
      <c r="H230" s="13">
        <v>119.616</v>
      </c>
      <c r="I230" s="13">
        <v>8</v>
      </c>
      <c r="J230" s="13">
        <v>0.2</v>
      </c>
      <c r="K230" s="21">
        <v>40.370399999999997</v>
      </c>
    </row>
    <row r="231" spans="1:11" x14ac:dyDescent="0.3">
      <c r="A231" s="20" t="s">
        <v>397</v>
      </c>
      <c r="B231" s="14">
        <v>42576</v>
      </c>
      <c r="C231" s="14" t="str">
        <f t="shared" si="3"/>
        <v>Jul</v>
      </c>
      <c r="D231" s="13" t="s">
        <v>16</v>
      </c>
      <c r="E231" s="13" t="s">
        <v>398</v>
      </c>
      <c r="F231" s="13" t="s">
        <v>18</v>
      </c>
      <c r="G231" s="13" t="s">
        <v>400</v>
      </c>
      <c r="H231" s="13">
        <v>255.76</v>
      </c>
      <c r="I231" s="13">
        <v>4</v>
      </c>
      <c r="J231" s="13">
        <v>0</v>
      </c>
      <c r="K231" s="21">
        <v>81.843199999999996</v>
      </c>
    </row>
    <row r="232" spans="1:11" x14ac:dyDescent="0.3">
      <c r="A232" s="20" t="s">
        <v>397</v>
      </c>
      <c r="B232" s="14">
        <v>42576</v>
      </c>
      <c r="C232" s="14" t="str">
        <f t="shared" si="3"/>
        <v>Jul</v>
      </c>
      <c r="D232" s="13" t="s">
        <v>16</v>
      </c>
      <c r="E232" s="13" t="s">
        <v>398</v>
      </c>
      <c r="F232" s="13" t="s">
        <v>18</v>
      </c>
      <c r="G232" s="13" t="s">
        <v>163</v>
      </c>
      <c r="H232" s="13">
        <v>241.56800000000001</v>
      </c>
      <c r="I232" s="13">
        <v>2</v>
      </c>
      <c r="J232" s="13">
        <v>0.2</v>
      </c>
      <c r="K232" s="21">
        <v>18.117599999999999</v>
      </c>
    </row>
    <row r="233" spans="1:11" x14ac:dyDescent="0.3">
      <c r="A233" s="20" t="s">
        <v>397</v>
      </c>
      <c r="B233" s="14">
        <v>42576</v>
      </c>
      <c r="C233" s="14" t="str">
        <f t="shared" si="3"/>
        <v>Jul</v>
      </c>
      <c r="D233" s="13" t="s">
        <v>16</v>
      </c>
      <c r="E233" s="13" t="s">
        <v>398</v>
      </c>
      <c r="F233" s="13" t="s">
        <v>18</v>
      </c>
      <c r="G233" s="13" t="s">
        <v>401</v>
      </c>
      <c r="H233" s="13">
        <v>69.3</v>
      </c>
      <c r="I233" s="13">
        <v>9</v>
      </c>
      <c r="J233" s="13">
        <v>0</v>
      </c>
      <c r="K233" s="21">
        <v>22.869</v>
      </c>
    </row>
    <row r="234" spans="1:11" x14ac:dyDescent="0.3">
      <c r="A234" s="20" t="s">
        <v>402</v>
      </c>
      <c r="B234" s="14">
        <v>42533</v>
      </c>
      <c r="C234" s="14" t="str">
        <f t="shared" si="3"/>
        <v>Jun</v>
      </c>
      <c r="D234" s="13" t="s">
        <v>44</v>
      </c>
      <c r="E234" s="13" t="s">
        <v>169</v>
      </c>
      <c r="F234" s="13" t="s">
        <v>23</v>
      </c>
      <c r="G234" s="13" t="s">
        <v>403</v>
      </c>
      <c r="H234" s="13">
        <v>208.16</v>
      </c>
      <c r="I234" s="13">
        <v>1</v>
      </c>
      <c r="J234" s="13">
        <v>0</v>
      </c>
      <c r="K234" s="21">
        <v>56.203200000000002</v>
      </c>
    </row>
    <row r="235" spans="1:11" x14ac:dyDescent="0.3">
      <c r="A235" s="20" t="s">
        <v>402</v>
      </c>
      <c r="B235" s="14">
        <v>42533</v>
      </c>
      <c r="C235" s="14" t="str">
        <f t="shared" si="3"/>
        <v>Jun</v>
      </c>
      <c r="D235" s="13" t="s">
        <v>44</v>
      </c>
      <c r="E235" s="13" t="s">
        <v>169</v>
      </c>
      <c r="F235" s="13" t="s">
        <v>23</v>
      </c>
      <c r="G235" s="13" t="s">
        <v>404</v>
      </c>
      <c r="H235" s="13">
        <v>16.739999999999998</v>
      </c>
      <c r="I235" s="13">
        <v>3</v>
      </c>
      <c r="J235" s="13">
        <v>0</v>
      </c>
      <c r="K235" s="21">
        <v>8.0351999999999997</v>
      </c>
    </row>
    <row r="236" spans="1:11" x14ac:dyDescent="0.3">
      <c r="A236" s="20" t="s">
        <v>405</v>
      </c>
      <c r="B236" s="14">
        <v>42527</v>
      </c>
      <c r="C236" s="14" t="str">
        <f t="shared" si="3"/>
        <v>Jun</v>
      </c>
      <c r="D236" s="13" t="s">
        <v>11</v>
      </c>
      <c r="E236" s="13" t="s">
        <v>406</v>
      </c>
      <c r="F236" s="13" t="s">
        <v>23</v>
      </c>
      <c r="G236" s="13" t="s">
        <v>407</v>
      </c>
      <c r="H236" s="13">
        <v>714.3</v>
      </c>
      <c r="I236" s="13">
        <v>5</v>
      </c>
      <c r="J236" s="13">
        <v>0</v>
      </c>
      <c r="K236" s="21">
        <v>207.14699999999999</v>
      </c>
    </row>
    <row r="237" spans="1:11" x14ac:dyDescent="0.3">
      <c r="A237" s="20" t="s">
        <v>408</v>
      </c>
      <c r="B237" s="14">
        <v>42677</v>
      </c>
      <c r="C237" s="14" t="str">
        <f t="shared" si="3"/>
        <v>Nov</v>
      </c>
      <c r="D237" s="13" t="s">
        <v>21</v>
      </c>
      <c r="E237" s="13" t="s">
        <v>409</v>
      </c>
      <c r="F237" s="13" t="s">
        <v>23</v>
      </c>
      <c r="G237" s="13" t="s">
        <v>410</v>
      </c>
      <c r="H237" s="13">
        <v>75.959999999999994</v>
      </c>
      <c r="I237" s="13">
        <v>2</v>
      </c>
      <c r="J237" s="13">
        <v>0</v>
      </c>
      <c r="K237" s="21">
        <v>22.788</v>
      </c>
    </row>
    <row r="238" spans="1:11" x14ac:dyDescent="0.3">
      <c r="A238" s="20" t="s">
        <v>408</v>
      </c>
      <c r="B238" s="14">
        <v>42677</v>
      </c>
      <c r="C238" s="14" t="str">
        <f t="shared" si="3"/>
        <v>Nov</v>
      </c>
      <c r="D238" s="13" t="s">
        <v>21</v>
      </c>
      <c r="E238" s="13" t="s">
        <v>409</v>
      </c>
      <c r="F238" s="13" t="s">
        <v>23</v>
      </c>
      <c r="G238" s="13" t="s">
        <v>411</v>
      </c>
      <c r="H238" s="13">
        <v>27.24</v>
      </c>
      <c r="I238" s="13">
        <v>6</v>
      </c>
      <c r="J238" s="13">
        <v>0</v>
      </c>
      <c r="K238" s="21">
        <v>13.3476</v>
      </c>
    </row>
    <row r="239" spans="1:11" x14ac:dyDescent="0.3">
      <c r="A239" s="20" t="s">
        <v>412</v>
      </c>
      <c r="B239" s="14">
        <v>42614</v>
      </c>
      <c r="C239" s="14" t="str">
        <f t="shared" si="3"/>
        <v>Sep</v>
      </c>
      <c r="D239" s="13" t="s">
        <v>11</v>
      </c>
      <c r="E239" s="13" t="s">
        <v>88</v>
      </c>
      <c r="F239" s="13" t="s">
        <v>13</v>
      </c>
      <c r="G239" s="13" t="s">
        <v>413</v>
      </c>
      <c r="H239" s="13">
        <v>6.79</v>
      </c>
      <c r="I239" s="13">
        <v>1</v>
      </c>
      <c r="J239" s="13">
        <v>0</v>
      </c>
      <c r="K239" s="21">
        <v>2.3086000000000002</v>
      </c>
    </row>
    <row r="240" spans="1:11" x14ac:dyDescent="0.3">
      <c r="A240" s="20" t="s">
        <v>412</v>
      </c>
      <c r="B240" s="14">
        <v>42614</v>
      </c>
      <c r="C240" s="14" t="str">
        <f t="shared" si="3"/>
        <v>Sep</v>
      </c>
      <c r="D240" s="13" t="s">
        <v>11</v>
      </c>
      <c r="E240" s="13" t="s">
        <v>88</v>
      </c>
      <c r="F240" s="13" t="s">
        <v>23</v>
      </c>
      <c r="G240" s="13" t="s">
        <v>414</v>
      </c>
      <c r="H240" s="13">
        <v>24.56</v>
      </c>
      <c r="I240" s="13">
        <v>2</v>
      </c>
      <c r="J240" s="13">
        <v>0</v>
      </c>
      <c r="K240" s="21">
        <v>11.543200000000001</v>
      </c>
    </row>
    <row r="241" spans="1:11" x14ac:dyDescent="0.3">
      <c r="A241" s="20" t="s">
        <v>412</v>
      </c>
      <c r="B241" s="14">
        <v>42614</v>
      </c>
      <c r="C241" s="14" t="str">
        <f t="shared" si="3"/>
        <v>Sep</v>
      </c>
      <c r="D241" s="13" t="s">
        <v>11</v>
      </c>
      <c r="E241" s="13" t="s">
        <v>88</v>
      </c>
      <c r="F241" s="13" t="s">
        <v>23</v>
      </c>
      <c r="G241" s="13" t="s">
        <v>415</v>
      </c>
      <c r="H241" s="13">
        <v>3.048</v>
      </c>
      <c r="I241" s="13">
        <v>1</v>
      </c>
      <c r="J241" s="13">
        <v>0.2</v>
      </c>
      <c r="K241" s="21">
        <v>1.0668</v>
      </c>
    </row>
    <row r="242" spans="1:11" x14ac:dyDescent="0.3">
      <c r="A242" s="20" t="s">
        <v>412</v>
      </c>
      <c r="B242" s="14">
        <v>42614</v>
      </c>
      <c r="C242" s="14" t="str">
        <f t="shared" si="3"/>
        <v>Sep</v>
      </c>
      <c r="D242" s="13" t="s">
        <v>11</v>
      </c>
      <c r="E242" s="13" t="s">
        <v>88</v>
      </c>
      <c r="F242" s="13" t="s">
        <v>23</v>
      </c>
      <c r="G242" s="13" t="s">
        <v>414</v>
      </c>
      <c r="H242" s="13">
        <v>49.12</v>
      </c>
      <c r="I242" s="13">
        <v>4</v>
      </c>
      <c r="J242" s="13">
        <v>0</v>
      </c>
      <c r="K242" s="21">
        <v>23.086400000000001</v>
      </c>
    </row>
    <row r="243" spans="1:11" x14ac:dyDescent="0.3">
      <c r="A243" s="20" t="s">
        <v>412</v>
      </c>
      <c r="B243" s="14">
        <v>42614</v>
      </c>
      <c r="C243" s="14" t="str">
        <f t="shared" si="3"/>
        <v>Sep</v>
      </c>
      <c r="D243" s="13" t="s">
        <v>11</v>
      </c>
      <c r="E243" s="13" t="s">
        <v>88</v>
      </c>
      <c r="F243" s="13" t="s">
        <v>23</v>
      </c>
      <c r="G243" s="13" t="s">
        <v>416</v>
      </c>
      <c r="H243" s="13">
        <v>4355.1679999999997</v>
      </c>
      <c r="I243" s="13">
        <v>4</v>
      </c>
      <c r="J243" s="13">
        <v>0.2</v>
      </c>
      <c r="K243" s="21">
        <v>1415.4295999999999</v>
      </c>
    </row>
    <row r="244" spans="1:11" x14ac:dyDescent="0.3">
      <c r="A244" s="20" t="s">
        <v>417</v>
      </c>
      <c r="B244" s="14">
        <v>42705</v>
      </c>
      <c r="C244" s="14" t="str">
        <f t="shared" si="3"/>
        <v>Dec</v>
      </c>
      <c r="D244" s="13" t="s">
        <v>21</v>
      </c>
      <c r="E244" s="13" t="s">
        <v>48</v>
      </c>
      <c r="F244" s="13" t="s">
        <v>23</v>
      </c>
      <c r="G244" s="13" t="s">
        <v>418</v>
      </c>
      <c r="H244" s="13">
        <v>23.92</v>
      </c>
      <c r="I244" s="13">
        <v>4</v>
      </c>
      <c r="J244" s="13">
        <v>0</v>
      </c>
      <c r="K244" s="21">
        <v>11.720800000000001</v>
      </c>
    </row>
    <row r="245" spans="1:11" x14ac:dyDescent="0.3">
      <c r="A245" s="20" t="s">
        <v>419</v>
      </c>
      <c r="B245" s="14">
        <v>42483</v>
      </c>
      <c r="C245" s="14" t="str">
        <f t="shared" si="3"/>
        <v>Apr</v>
      </c>
      <c r="D245" s="13" t="s">
        <v>44</v>
      </c>
      <c r="E245" s="13" t="s">
        <v>420</v>
      </c>
      <c r="F245" s="13" t="s">
        <v>23</v>
      </c>
      <c r="G245" s="13" t="s">
        <v>421</v>
      </c>
      <c r="H245" s="13">
        <v>36.24</v>
      </c>
      <c r="I245" s="13">
        <v>5</v>
      </c>
      <c r="J245" s="13">
        <v>0.2</v>
      </c>
      <c r="K245" s="21">
        <v>11.324999999999999</v>
      </c>
    </row>
    <row r="246" spans="1:11" x14ac:dyDescent="0.3">
      <c r="A246" s="20" t="s">
        <v>422</v>
      </c>
      <c r="B246" s="14">
        <v>42671</v>
      </c>
      <c r="C246" s="14" t="str">
        <f t="shared" si="3"/>
        <v>Oct</v>
      </c>
      <c r="D246" s="13" t="s">
        <v>16</v>
      </c>
      <c r="E246" s="13" t="s">
        <v>58</v>
      </c>
      <c r="F246" s="13" t="s">
        <v>23</v>
      </c>
      <c r="G246" s="13" t="s">
        <v>423</v>
      </c>
      <c r="H246" s="13">
        <v>93.06</v>
      </c>
      <c r="I246" s="13">
        <v>6</v>
      </c>
      <c r="J246" s="13">
        <v>0</v>
      </c>
      <c r="K246" s="21">
        <v>26.056799999999999</v>
      </c>
    </row>
    <row r="247" spans="1:11" x14ac:dyDescent="0.3">
      <c r="A247" s="20" t="s">
        <v>422</v>
      </c>
      <c r="B247" s="14">
        <v>42671</v>
      </c>
      <c r="C247" s="14" t="str">
        <f t="shared" si="3"/>
        <v>Oct</v>
      </c>
      <c r="D247" s="13" t="s">
        <v>16</v>
      </c>
      <c r="E247" s="13" t="s">
        <v>58</v>
      </c>
      <c r="F247" s="13" t="s">
        <v>13</v>
      </c>
      <c r="G247" s="13" t="s">
        <v>424</v>
      </c>
      <c r="H247" s="13">
        <v>302.37599999999998</v>
      </c>
      <c r="I247" s="13">
        <v>3</v>
      </c>
      <c r="J247" s="13">
        <v>0.2</v>
      </c>
      <c r="K247" s="21">
        <v>22.6782</v>
      </c>
    </row>
    <row r="248" spans="1:11" x14ac:dyDescent="0.3">
      <c r="A248" s="20" t="s">
        <v>425</v>
      </c>
      <c r="B248" s="14">
        <v>42671</v>
      </c>
      <c r="C248" s="14" t="str">
        <f t="shared" si="3"/>
        <v>Oct</v>
      </c>
      <c r="D248" s="13" t="s">
        <v>16</v>
      </c>
      <c r="E248" s="13" t="s">
        <v>85</v>
      </c>
      <c r="F248" s="13" t="s">
        <v>23</v>
      </c>
      <c r="G248" s="13" t="s">
        <v>426</v>
      </c>
      <c r="H248" s="13">
        <v>50.96</v>
      </c>
      <c r="I248" s="13">
        <v>7</v>
      </c>
      <c r="J248" s="13">
        <v>0</v>
      </c>
      <c r="K248" s="21">
        <v>25.48</v>
      </c>
    </row>
    <row r="249" spans="1:11" x14ac:dyDescent="0.3">
      <c r="A249" s="20" t="s">
        <v>425</v>
      </c>
      <c r="B249" s="14">
        <v>42671</v>
      </c>
      <c r="C249" s="14" t="str">
        <f t="shared" si="3"/>
        <v>Oct</v>
      </c>
      <c r="D249" s="13" t="s">
        <v>16</v>
      </c>
      <c r="E249" s="13" t="s">
        <v>85</v>
      </c>
      <c r="F249" s="13" t="s">
        <v>23</v>
      </c>
      <c r="G249" s="13" t="s">
        <v>427</v>
      </c>
      <c r="H249" s="13">
        <v>49.536000000000001</v>
      </c>
      <c r="I249" s="13">
        <v>3</v>
      </c>
      <c r="J249" s="13">
        <v>0.2</v>
      </c>
      <c r="K249" s="21">
        <v>17.337599999999998</v>
      </c>
    </row>
    <row r="250" spans="1:11" x14ac:dyDescent="0.3">
      <c r="A250" s="20" t="s">
        <v>428</v>
      </c>
      <c r="B250" s="14">
        <v>42713</v>
      </c>
      <c r="C250" s="14" t="str">
        <f t="shared" si="3"/>
        <v>Dec</v>
      </c>
      <c r="D250" s="13" t="s">
        <v>21</v>
      </c>
      <c r="E250" s="13" t="s">
        <v>429</v>
      </c>
      <c r="F250" s="13" t="s">
        <v>23</v>
      </c>
      <c r="G250" s="13" t="s">
        <v>430</v>
      </c>
      <c r="H250" s="13">
        <v>19.46</v>
      </c>
      <c r="I250" s="13">
        <v>7</v>
      </c>
      <c r="J250" s="13">
        <v>0</v>
      </c>
      <c r="K250" s="21">
        <v>5.0595999999999997</v>
      </c>
    </row>
    <row r="251" spans="1:11" x14ac:dyDescent="0.3">
      <c r="A251" s="20" t="s">
        <v>428</v>
      </c>
      <c r="B251" s="14">
        <v>42713</v>
      </c>
      <c r="C251" s="14" t="str">
        <f t="shared" si="3"/>
        <v>Dec</v>
      </c>
      <c r="D251" s="13" t="s">
        <v>21</v>
      </c>
      <c r="E251" s="13" t="s">
        <v>429</v>
      </c>
      <c r="F251" s="13" t="s">
        <v>23</v>
      </c>
      <c r="G251" s="13" t="s">
        <v>431</v>
      </c>
      <c r="H251" s="13">
        <v>60.34</v>
      </c>
      <c r="I251" s="13">
        <v>7</v>
      </c>
      <c r="J251" s="13">
        <v>0</v>
      </c>
      <c r="K251" s="21">
        <v>15.6884</v>
      </c>
    </row>
    <row r="252" spans="1:11" x14ac:dyDescent="0.3">
      <c r="A252" s="20" t="s">
        <v>432</v>
      </c>
      <c r="B252" s="14">
        <v>42468</v>
      </c>
      <c r="C252" s="14" t="str">
        <f t="shared" si="3"/>
        <v>Apr</v>
      </c>
      <c r="D252" s="13" t="s">
        <v>11</v>
      </c>
      <c r="E252" s="13" t="s">
        <v>88</v>
      </c>
      <c r="F252" s="13" t="s">
        <v>18</v>
      </c>
      <c r="G252" s="13" t="s">
        <v>433</v>
      </c>
      <c r="H252" s="13">
        <v>388.70400000000001</v>
      </c>
      <c r="I252" s="13">
        <v>6</v>
      </c>
      <c r="J252" s="13">
        <v>0.2</v>
      </c>
      <c r="K252" s="21">
        <v>-4.8587999999999996</v>
      </c>
    </row>
    <row r="253" spans="1:11" x14ac:dyDescent="0.3">
      <c r="A253" s="20" t="s">
        <v>432</v>
      </c>
      <c r="B253" s="14">
        <v>42468</v>
      </c>
      <c r="C253" s="14" t="str">
        <f t="shared" si="3"/>
        <v>Apr</v>
      </c>
      <c r="D253" s="13" t="s">
        <v>11</v>
      </c>
      <c r="E253" s="13" t="s">
        <v>88</v>
      </c>
      <c r="F253" s="13" t="s">
        <v>23</v>
      </c>
      <c r="G253" s="13" t="s">
        <v>434</v>
      </c>
      <c r="H253" s="13">
        <v>8.26</v>
      </c>
      <c r="I253" s="13">
        <v>2</v>
      </c>
      <c r="J253" s="13">
        <v>0</v>
      </c>
      <c r="K253" s="21">
        <v>3.7995999999999999</v>
      </c>
    </row>
    <row r="254" spans="1:11" x14ac:dyDescent="0.3">
      <c r="A254" s="20" t="s">
        <v>432</v>
      </c>
      <c r="B254" s="14">
        <v>42468</v>
      </c>
      <c r="C254" s="14" t="str">
        <f t="shared" si="3"/>
        <v>Apr</v>
      </c>
      <c r="D254" s="13" t="s">
        <v>11</v>
      </c>
      <c r="E254" s="13" t="s">
        <v>88</v>
      </c>
      <c r="F254" s="13" t="s">
        <v>23</v>
      </c>
      <c r="G254" s="13" t="s">
        <v>435</v>
      </c>
      <c r="H254" s="13">
        <v>17.04</v>
      </c>
      <c r="I254" s="13">
        <v>4</v>
      </c>
      <c r="J254" s="13">
        <v>0</v>
      </c>
      <c r="K254" s="21">
        <v>6.9863999999999997</v>
      </c>
    </row>
    <row r="255" spans="1:11" x14ac:dyDescent="0.3">
      <c r="A255" s="20" t="s">
        <v>432</v>
      </c>
      <c r="B255" s="14">
        <v>42468</v>
      </c>
      <c r="C255" s="14" t="str">
        <f t="shared" si="3"/>
        <v>Apr</v>
      </c>
      <c r="D255" s="13" t="s">
        <v>11</v>
      </c>
      <c r="E255" s="13" t="s">
        <v>88</v>
      </c>
      <c r="F255" s="13" t="s">
        <v>23</v>
      </c>
      <c r="G255" s="13" t="s">
        <v>436</v>
      </c>
      <c r="H255" s="13">
        <v>34.4</v>
      </c>
      <c r="I255" s="13">
        <v>5</v>
      </c>
      <c r="J255" s="13">
        <v>0</v>
      </c>
      <c r="K255" s="21">
        <v>15.824</v>
      </c>
    </row>
    <row r="256" spans="1:11" x14ac:dyDescent="0.3">
      <c r="A256" s="20" t="s">
        <v>437</v>
      </c>
      <c r="B256" s="14">
        <v>42533</v>
      </c>
      <c r="C256" s="14" t="str">
        <f t="shared" si="3"/>
        <v>Jun</v>
      </c>
      <c r="D256" s="13" t="s">
        <v>16</v>
      </c>
      <c r="E256" s="13" t="s">
        <v>58</v>
      </c>
      <c r="F256" s="13" t="s">
        <v>23</v>
      </c>
      <c r="G256" s="13" t="s">
        <v>438</v>
      </c>
      <c r="H256" s="13">
        <v>14.62</v>
      </c>
      <c r="I256" s="13">
        <v>2</v>
      </c>
      <c r="J256" s="13">
        <v>0</v>
      </c>
      <c r="K256" s="21">
        <v>6.8714000000000004</v>
      </c>
    </row>
    <row r="257" spans="1:11" x14ac:dyDescent="0.3">
      <c r="A257" s="20" t="s">
        <v>439</v>
      </c>
      <c r="B257" s="14">
        <v>42671</v>
      </c>
      <c r="C257" s="14" t="str">
        <f t="shared" si="3"/>
        <v>Oct</v>
      </c>
      <c r="D257" s="13" t="s">
        <v>11</v>
      </c>
      <c r="E257" s="13" t="s">
        <v>440</v>
      </c>
      <c r="F257" s="13" t="s">
        <v>23</v>
      </c>
      <c r="G257" s="13" t="s">
        <v>441</v>
      </c>
      <c r="H257" s="13">
        <v>32.4</v>
      </c>
      <c r="I257" s="13">
        <v>5</v>
      </c>
      <c r="J257" s="13">
        <v>0</v>
      </c>
      <c r="K257" s="21">
        <v>15.552</v>
      </c>
    </row>
    <row r="258" spans="1:11" x14ac:dyDescent="0.3">
      <c r="A258" s="20" t="s">
        <v>439</v>
      </c>
      <c r="B258" s="14">
        <v>42671</v>
      </c>
      <c r="C258" s="14" t="str">
        <f t="shared" si="3"/>
        <v>Oct</v>
      </c>
      <c r="D258" s="13" t="s">
        <v>11</v>
      </c>
      <c r="E258" s="13" t="s">
        <v>440</v>
      </c>
      <c r="F258" s="13" t="s">
        <v>23</v>
      </c>
      <c r="G258" s="13" t="s">
        <v>442</v>
      </c>
      <c r="H258" s="13">
        <v>1082.48</v>
      </c>
      <c r="I258" s="13">
        <v>8</v>
      </c>
      <c r="J258" s="13">
        <v>0</v>
      </c>
      <c r="K258" s="21">
        <v>10.8248</v>
      </c>
    </row>
    <row r="259" spans="1:11" x14ac:dyDescent="0.3">
      <c r="A259" s="20" t="s">
        <v>439</v>
      </c>
      <c r="B259" s="14">
        <v>42671</v>
      </c>
      <c r="C259" s="14" t="str">
        <f t="shared" ref="C259:C322" si="4">TEXT(B259,"MMM")</f>
        <v>Oct</v>
      </c>
      <c r="D259" s="13" t="s">
        <v>11</v>
      </c>
      <c r="E259" s="13" t="s">
        <v>440</v>
      </c>
      <c r="F259" s="13" t="s">
        <v>23</v>
      </c>
      <c r="G259" s="13" t="s">
        <v>443</v>
      </c>
      <c r="H259" s="13">
        <v>56.91</v>
      </c>
      <c r="I259" s="13">
        <v>3</v>
      </c>
      <c r="J259" s="13">
        <v>0</v>
      </c>
      <c r="K259" s="21">
        <v>27.316800000000001</v>
      </c>
    </row>
    <row r="260" spans="1:11" x14ac:dyDescent="0.3">
      <c r="A260" s="20" t="s">
        <v>439</v>
      </c>
      <c r="B260" s="14">
        <v>42671</v>
      </c>
      <c r="C260" s="14" t="str">
        <f t="shared" si="4"/>
        <v>Oct</v>
      </c>
      <c r="D260" s="13" t="s">
        <v>11</v>
      </c>
      <c r="E260" s="13" t="s">
        <v>440</v>
      </c>
      <c r="F260" s="13" t="s">
        <v>18</v>
      </c>
      <c r="G260" s="13" t="s">
        <v>444</v>
      </c>
      <c r="H260" s="13">
        <v>77.599999999999994</v>
      </c>
      <c r="I260" s="13">
        <v>4</v>
      </c>
      <c r="J260" s="13">
        <v>0</v>
      </c>
      <c r="K260" s="21">
        <v>38.024000000000001</v>
      </c>
    </row>
    <row r="261" spans="1:11" x14ac:dyDescent="0.3">
      <c r="A261" s="20" t="s">
        <v>439</v>
      </c>
      <c r="B261" s="14">
        <v>42671</v>
      </c>
      <c r="C261" s="14" t="str">
        <f t="shared" si="4"/>
        <v>Oct</v>
      </c>
      <c r="D261" s="13" t="s">
        <v>11</v>
      </c>
      <c r="E261" s="13" t="s">
        <v>440</v>
      </c>
      <c r="F261" s="13" t="s">
        <v>23</v>
      </c>
      <c r="G261" s="13" t="s">
        <v>445</v>
      </c>
      <c r="H261" s="13">
        <v>14.28</v>
      </c>
      <c r="I261" s="13">
        <v>1</v>
      </c>
      <c r="J261" s="13">
        <v>0</v>
      </c>
      <c r="K261" s="21">
        <v>6.5688000000000004</v>
      </c>
    </row>
    <row r="262" spans="1:11" x14ac:dyDescent="0.3">
      <c r="A262" s="20" t="s">
        <v>446</v>
      </c>
      <c r="B262" s="14">
        <v>42625</v>
      </c>
      <c r="C262" s="14" t="str">
        <f t="shared" si="4"/>
        <v>Sep</v>
      </c>
      <c r="D262" s="13" t="s">
        <v>16</v>
      </c>
      <c r="E262" s="13" t="s">
        <v>447</v>
      </c>
      <c r="F262" s="13" t="s">
        <v>18</v>
      </c>
      <c r="G262" s="13" t="s">
        <v>448</v>
      </c>
      <c r="H262" s="13">
        <v>15.135999999999999</v>
      </c>
      <c r="I262" s="13">
        <v>4</v>
      </c>
      <c r="J262" s="13">
        <v>0.2</v>
      </c>
      <c r="K262" s="21">
        <v>3.5948000000000002</v>
      </c>
    </row>
    <row r="263" spans="1:11" x14ac:dyDescent="0.3">
      <c r="A263" s="20" t="s">
        <v>446</v>
      </c>
      <c r="B263" s="14">
        <v>42625</v>
      </c>
      <c r="C263" s="14" t="str">
        <f t="shared" si="4"/>
        <v>Sep</v>
      </c>
      <c r="D263" s="13" t="s">
        <v>16</v>
      </c>
      <c r="E263" s="13" t="s">
        <v>447</v>
      </c>
      <c r="F263" s="13" t="s">
        <v>18</v>
      </c>
      <c r="G263" s="13" t="s">
        <v>449</v>
      </c>
      <c r="H263" s="13">
        <v>466.76799999999997</v>
      </c>
      <c r="I263" s="13">
        <v>2</v>
      </c>
      <c r="J263" s="13">
        <v>0.2</v>
      </c>
      <c r="K263" s="21">
        <v>52.511400000000002</v>
      </c>
    </row>
    <row r="264" spans="1:11" x14ac:dyDescent="0.3">
      <c r="A264" s="20" t="s">
        <v>446</v>
      </c>
      <c r="B264" s="14">
        <v>42625</v>
      </c>
      <c r="C264" s="14" t="str">
        <f t="shared" si="4"/>
        <v>Sep</v>
      </c>
      <c r="D264" s="13" t="s">
        <v>16</v>
      </c>
      <c r="E264" s="13" t="s">
        <v>447</v>
      </c>
      <c r="F264" s="13" t="s">
        <v>18</v>
      </c>
      <c r="G264" s="13" t="s">
        <v>450</v>
      </c>
      <c r="H264" s="13">
        <v>15.231999999999999</v>
      </c>
      <c r="I264" s="13">
        <v>1</v>
      </c>
      <c r="J264" s="13">
        <v>0.2</v>
      </c>
      <c r="K264" s="21">
        <v>1.7136</v>
      </c>
    </row>
    <row r="265" spans="1:11" x14ac:dyDescent="0.3">
      <c r="A265" s="20" t="s">
        <v>446</v>
      </c>
      <c r="B265" s="14">
        <v>42625</v>
      </c>
      <c r="C265" s="14" t="str">
        <f t="shared" si="4"/>
        <v>Sep</v>
      </c>
      <c r="D265" s="13" t="s">
        <v>16</v>
      </c>
      <c r="E265" s="13" t="s">
        <v>447</v>
      </c>
      <c r="F265" s="13" t="s">
        <v>23</v>
      </c>
      <c r="G265" s="13" t="s">
        <v>451</v>
      </c>
      <c r="H265" s="13">
        <v>6.2640000000000002</v>
      </c>
      <c r="I265" s="13">
        <v>3</v>
      </c>
      <c r="J265" s="13">
        <v>0.2</v>
      </c>
      <c r="K265" s="21">
        <v>2.0358000000000001</v>
      </c>
    </row>
    <row r="266" spans="1:11" x14ac:dyDescent="0.3">
      <c r="A266" s="20" t="s">
        <v>452</v>
      </c>
      <c r="B266" s="14">
        <v>42656</v>
      </c>
      <c r="C266" s="14" t="str">
        <f t="shared" si="4"/>
        <v>Oct</v>
      </c>
      <c r="D266" s="13" t="s">
        <v>16</v>
      </c>
      <c r="E266" s="13" t="s">
        <v>453</v>
      </c>
      <c r="F266" s="13" t="s">
        <v>23</v>
      </c>
      <c r="G266" s="13" t="s">
        <v>454</v>
      </c>
      <c r="H266" s="13">
        <v>20.04</v>
      </c>
      <c r="I266" s="13">
        <v>3</v>
      </c>
      <c r="J266" s="13">
        <v>0</v>
      </c>
      <c r="K266" s="21">
        <v>9.6191999999999993</v>
      </c>
    </row>
    <row r="267" spans="1:11" x14ac:dyDescent="0.3">
      <c r="A267" s="20" t="s">
        <v>452</v>
      </c>
      <c r="B267" s="14">
        <v>42656</v>
      </c>
      <c r="C267" s="14" t="str">
        <f t="shared" si="4"/>
        <v>Oct</v>
      </c>
      <c r="D267" s="13" t="s">
        <v>16</v>
      </c>
      <c r="E267" s="13" t="s">
        <v>453</v>
      </c>
      <c r="F267" s="13" t="s">
        <v>23</v>
      </c>
      <c r="G267" s="13" t="s">
        <v>455</v>
      </c>
      <c r="H267" s="13">
        <v>35.44</v>
      </c>
      <c r="I267" s="13">
        <v>1</v>
      </c>
      <c r="J267" s="13">
        <v>0</v>
      </c>
      <c r="K267" s="21">
        <v>16.6568</v>
      </c>
    </row>
    <row r="268" spans="1:11" x14ac:dyDescent="0.3">
      <c r="A268" s="20" t="s">
        <v>452</v>
      </c>
      <c r="B268" s="14">
        <v>42656</v>
      </c>
      <c r="C268" s="14" t="str">
        <f t="shared" si="4"/>
        <v>Oct</v>
      </c>
      <c r="D268" s="13" t="s">
        <v>16</v>
      </c>
      <c r="E268" s="13" t="s">
        <v>453</v>
      </c>
      <c r="F268" s="13" t="s">
        <v>23</v>
      </c>
      <c r="G268" s="13" t="s">
        <v>456</v>
      </c>
      <c r="H268" s="13">
        <v>11.52</v>
      </c>
      <c r="I268" s="13">
        <v>4</v>
      </c>
      <c r="J268" s="13">
        <v>0</v>
      </c>
      <c r="K268" s="21">
        <v>3.456</v>
      </c>
    </row>
    <row r="269" spans="1:11" x14ac:dyDescent="0.3">
      <c r="A269" s="20" t="s">
        <v>452</v>
      </c>
      <c r="B269" s="14">
        <v>42656</v>
      </c>
      <c r="C269" s="14" t="str">
        <f t="shared" si="4"/>
        <v>Oct</v>
      </c>
      <c r="D269" s="13" t="s">
        <v>16</v>
      </c>
      <c r="E269" s="13" t="s">
        <v>453</v>
      </c>
      <c r="F269" s="13" t="s">
        <v>23</v>
      </c>
      <c r="G269" s="13" t="s">
        <v>457</v>
      </c>
      <c r="H269" s="13">
        <v>4.0199999999999996</v>
      </c>
      <c r="I269" s="13">
        <v>2</v>
      </c>
      <c r="J269" s="13">
        <v>0</v>
      </c>
      <c r="K269" s="21">
        <v>1.9698</v>
      </c>
    </row>
    <row r="270" spans="1:11" x14ac:dyDescent="0.3">
      <c r="A270" s="20" t="s">
        <v>452</v>
      </c>
      <c r="B270" s="14">
        <v>42656</v>
      </c>
      <c r="C270" s="14" t="str">
        <f t="shared" si="4"/>
        <v>Oct</v>
      </c>
      <c r="D270" s="13" t="s">
        <v>16</v>
      </c>
      <c r="E270" s="13" t="s">
        <v>453</v>
      </c>
      <c r="F270" s="13" t="s">
        <v>23</v>
      </c>
      <c r="G270" s="13" t="s">
        <v>458</v>
      </c>
      <c r="H270" s="13">
        <v>76.176000000000002</v>
      </c>
      <c r="I270" s="13">
        <v>3</v>
      </c>
      <c r="J270" s="13">
        <v>0.2</v>
      </c>
      <c r="K270" s="21">
        <v>26.6616</v>
      </c>
    </row>
    <row r="271" spans="1:11" x14ac:dyDescent="0.3">
      <c r="A271" s="20" t="s">
        <v>452</v>
      </c>
      <c r="B271" s="14">
        <v>42656</v>
      </c>
      <c r="C271" s="14" t="str">
        <f t="shared" si="4"/>
        <v>Oct</v>
      </c>
      <c r="D271" s="13" t="s">
        <v>16</v>
      </c>
      <c r="E271" s="13" t="s">
        <v>453</v>
      </c>
      <c r="F271" s="13" t="s">
        <v>23</v>
      </c>
      <c r="G271" s="13" t="s">
        <v>459</v>
      </c>
      <c r="H271" s="13">
        <v>65.88</v>
      </c>
      <c r="I271" s="13">
        <v>6</v>
      </c>
      <c r="J271" s="13">
        <v>0</v>
      </c>
      <c r="K271" s="21">
        <v>18.446400000000001</v>
      </c>
    </row>
    <row r="272" spans="1:11" x14ac:dyDescent="0.3">
      <c r="A272" s="20" t="s">
        <v>452</v>
      </c>
      <c r="B272" s="14">
        <v>42656</v>
      </c>
      <c r="C272" s="14" t="str">
        <f t="shared" si="4"/>
        <v>Oct</v>
      </c>
      <c r="D272" s="13" t="s">
        <v>16</v>
      </c>
      <c r="E272" s="13" t="s">
        <v>453</v>
      </c>
      <c r="F272" s="13" t="s">
        <v>18</v>
      </c>
      <c r="G272" s="13" t="s">
        <v>203</v>
      </c>
      <c r="H272" s="13">
        <v>43.12</v>
      </c>
      <c r="I272" s="13">
        <v>14</v>
      </c>
      <c r="J272" s="13">
        <v>0</v>
      </c>
      <c r="K272" s="21">
        <v>20.697600000000001</v>
      </c>
    </row>
    <row r="273" spans="1:11" x14ac:dyDescent="0.3">
      <c r="A273" s="20" t="s">
        <v>460</v>
      </c>
      <c r="B273" s="14">
        <v>42624</v>
      </c>
      <c r="C273" s="14" t="str">
        <f t="shared" si="4"/>
        <v>Sep</v>
      </c>
      <c r="D273" s="13" t="s">
        <v>16</v>
      </c>
      <c r="E273" s="13" t="s">
        <v>113</v>
      </c>
      <c r="F273" s="13" t="s">
        <v>23</v>
      </c>
      <c r="G273" s="13" t="s">
        <v>461</v>
      </c>
      <c r="H273" s="13">
        <v>7.61</v>
      </c>
      <c r="I273" s="13">
        <v>1</v>
      </c>
      <c r="J273" s="13">
        <v>0</v>
      </c>
      <c r="K273" s="21">
        <v>3.5767000000000002</v>
      </c>
    </row>
    <row r="274" spans="1:11" x14ac:dyDescent="0.3">
      <c r="A274" s="20" t="s">
        <v>460</v>
      </c>
      <c r="B274" s="14">
        <v>42624</v>
      </c>
      <c r="C274" s="14" t="str">
        <f t="shared" si="4"/>
        <v>Sep</v>
      </c>
      <c r="D274" s="13" t="s">
        <v>16</v>
      </c>
      <c r="E274" s="13" t="s">
        <v>113</v>
      </c>
      <c r="F274" s="13" t="s">
        <v>13</v>
      </c>
      <c r="G274" s="13" t="s">
        <v>462</v>
      </c>
      <c r="H274" s="13">
        <v>3347.37</v>
      </c>
      <c r="I274" s="13">
        <v>13</v>
      </c>
      <c r="J274" s="13">
        <v>0</v>
      </c>
      <c r="K274" s="21">
        <v>636.00030000000004</v>
      </c>
    </row>
    <row r="275" spans="1:11" x14ac:dyDescent="0.3">
      <c r="A275" s="20" t="s">
        <v>463</v>
      </c>
      <c r="B275" s="14">
        <v>42714</v>
      </c>
      <c r="C275" s="14" t="str">
        <f t="shared" si="4"/>
        <v>Dec</v>
      </c>
      <c r="D275" s="13" t="s">
        <v>11</v>
      </c>
      <c r="E275" s="13" t="s">
        <v>88</v>
      </c>
      <c r="F275" s="13" t="s">
        <v>23</v>
      </c>
      <c r="G275" s="13" t="s">
        <v>464</v>
      </c>
      <c r="H275" s="13">
        <v>80.58</v>
      </c>
      <c r="I275" s="13">
        <v>6</v>
      </c>
      <c r="J275" s="13">
        <v>0</v>
      </c>
      <c r="K275" s="21">
        <v>22.5624</v>
      </c>
    </row>
    <row r="276" spans="1:11" x14ac:dyDescent="0.3">
      <c r="A276" s="20" t="s">
        <v>463</v>
      </c>
      <c r="B276" s="14">
        <v>42714</v>
      </c>
      <c r="C276" s="14" t="str">
        <f t="shared" si="4"/>
        <v>Dec</v>
      </c>
      <c r="D276" s="13" t="s">
        <v>11</v>
      </c>
      <c r="E276" s="13" t="s">
        <v>88</v>
      </c>
      <c r="F276" s="13" t="s">
        <v>23</v>
      </c>
      <c r="G276" s="13" t="s">
        <v>465</v>
      </c>
      <c r="H276" s="13">
        <v>361.92</v>
      </c>
      <c r="I276" s="13">
        <v>4</v>
      </c>
      <c r="J276" s="13">
        <v>0</v>
      </c>
      <c r="K276" s="21">
        <v>162.864</v>
      </c>
    </row>
    <row r="277" spans="1:11" x14ac:dyDescent="0.3">
      <c r="A277" s="20" t="s">
        <v>466</v>
      </c>
      <c r="B277" s="14">
        <v>42533</v>
      </c>
      <c r="C277" s="14" t="str">
        <f t="shared" si="4"/>
        <v>Jun</v>
      </c>
      <c r="D277" s="13" t="s">
        <v>21</v>
      </c>
      <c r="E277" s="13" t="s">
        <v>147</v>
      </c>
      <c r="F277" s="13" t="s">
        <v>13</v>
      </c>
      <c r="G277" s="13" t="s">
        <v>467</v>
      </c>
      <c r="H277" s="13">
        <v>1007.979</v>
      </c>
      <c r="I277" s="13">
        <v>3</v>
      </c>
      <c r="J277" s="13">
        <v>0.3</v>
      </c>
      <c r="K277" s="21">
        <v>43.199100000000001</v>
      </c>
    </row>
    <row r="278" spans="1:11" x14ac:dyDescent="0.3">
      <c r="A278" s="20" t="s">
        <v>466</v>
      </c>
      <c r="B278" s="14">
        <v>42533</v>
      </c>
      <c r="C278" s="14" t="str">
        <f t="shared" si="4"/>
        <v>Jun</v>
      </c>
      <c r="D278" s="13" t="s">
        <v>21</v>
      </c>
      <c r="E278" s="13" t="s">
        <v>147</v>
      </c>
      <c r="F278" s="13" t="s">
        <v>23</v>
      </c>
      <c r="G278" s="13" t="s">
        <v>468</v>
      </c>
      <c r="H278" s="13">
        <v>313.488</v>
      </c>
      <c r="I278" s="13">
        <v>7</v>
      </c>
      <c r="J278" s="13">
        <v>0.2</v>
      </c>
      <c r="K278" s="21">
        <v>113.63939999999999</v>
      </c>
    </row>
    <row r="279" spans="1:11" x14ac:dyDescent="0.3">
      <c r="A279" s="20" t="s">
        <v>469</v>
      </c>
      <c r="B279" s="14">
        <v>42474</v>
      </c>
      <c r="C279" s="14" t="str">
        <f t="shared" si="4"/>
        <v>Apr</v>
      </c>
      <c r="D279" s="13" t="s">
        <v>16</v>
      </c>
      <c r="E279" s="13" t="s">
        <v>58</v>
      </c>
      <c r="F279" s="13" t="s">
        <v>18</v>
      </c>
      <c r="G279" s="13" t="s">
        <v>470</v>
      </c>
      <c r="H279" s="13">
        <v>383.8</v>
      </c>
      <c r="I279" s="13">
        <v>5</v>
      </c>
      <c r="J279" s="13">
        <v>0.2</v>
      </c>
      <c r="K279" s="21">
        <v>38.380000000000003</v>
      </c>
    </row>
    <row r="280" spans="1:11" x14ac:dyDescent="0.3">
      <c r="A280" s="20" t="s">
        <v>471</v>
      </c>
      <c r="B280" s="14">
        <v>42619</v>
      </c>
      <c r="C280" s="14" t="str">
        <f t="shared" si="4"/>
        <v>Sep</v>
      </c>
      <c r="D280" s="13" t="s">
        <v>21</v>
      </c>
      <c r="E280" s="13" t="s">
        <v>472</v>
      </c>
      <c r="F280" s="13" t="s">
        <v>23</v>
      </c>
      <c r="G280" s="13" t="s">
        <v>473</v>
      </c>
      <c r="H280" s="13">
        <v>77.88</v>
      </c>
      <c r="I280" s="13">
        <v>6</v>
      </c>
      <c r="J280" s="13">
        <v>0</v>
      </c>
      <c r="K280" s="21">
        <v>22.5852</v>
      </c>
    </row>
    <row r="281" spans="1:11" x14ac:dyDescent="0.3">
      <c r="A281" s="20" t="s">
        <v>474</v>
      </c>
      <c r="B281" s="14">
        <v>42682</v>
      </c>
      <c r="C281" s="14" t="str">
        <f t="shared" si="4"/>
        <v>Nov</v>
      </c>
      <c r="D281" s="13" t="s">
        <v>44</v>
      </c>
      <c r="E281" s="13" t="s">
        <v>475</v>
      </c>
      <c r="F281" s="13" t="s">
        <v>18</v>
      </c>
      <c r="G281" s="13" t="s">
        <v>476</v>
      </c>
      <c r="H281" s="13">
        <v>261.95999999999998</v>
      </c>
      <c r="I281" s="13">
        <v>2</v>
      </c>
      <c r="J281" s="13">
        <v>0</v>
      </c>
      <c r="K281" s="21">
        <v>41.913600000000002</v>
      </c>
    </row>
    <row r="282" spans="1:11" x14ac:dyDescent="0.3">
      <c r="A282" s="20" t="s">
        <v>474</v>
      </c>
      <c r="B282" s="14">
        <v>42682</v>
      </c>
      <c r="C282" s="14" t="str">
        <f t="shared" si="4"/>
        <v>Nov</v>
      </c>
      <c r="D282" s="13" t="s">
        <v>44</v>
      </c>
      <c r="E282" s="13" t="s">
        <v>475</v>
      </c>
      <c r="F282" s="13" t="s">
        <v>18</v>
      </c>
      <c r="G282" s="13" t="s">
        <v>372</v>
      </c>
      <c r="H282" s="13">
        <v>731.94</v>
      </c>
      <c r="I282" s="13">
        <v>3</v>
      </c>
      <c r="J282" s="13">
        <v>0</v>
      </c>
      <c r="K282" s="21">
        <v>219.58199999999999</v>
      </c>
    </row>
    <row r="283" spans="1:11" x14ac:dyDescent="0.3">
      <c r="A283" s="20" t="s">
        <v>477</v>
      </c>
      <c r="B283" s="14">
        <v>42670</v>
      </c>
      <c r="C283" s="14" t="str">
        <f t="shared" si="4"/>
        <v>Oct</v>
      </c>
      <c r="D283" s="13" t="s">
        <v>11</v>
      </c>
      <c r="E283" s="13" t="s">
        <v>349</v>
      </c>
      <c r="F283" s="13" t="s">
        <v>18</v>
      </c>
      <c r="G283" s="13" t="s">
        <v>262</v>
      </c>
      <c r="H283" s="13">
        <v>40.200000000000003</v>
      </c>
      <c r="I283" s="13">
        <v>3</v>
      </c>
      <c r="J283" s="13">
        <v>0</v>
      </c>
      <c r="K283" s="21">
        <v>19.295999999999999</v>
      </c>
    </row>
    <row r="284" spans="1:11" x14ac:dyDescent="0.3">
      <c r="A284" s="20" t="s">
        <v>478</v>
      </c>
      <c r="B284" s="14">
        <v>42690</v>
      </c>
      <c r="C284" s="14" t="str">
        <f t="shared" si="4"/>
        <v>Nov</v>
      </c>
      <c r="D284" s="13" t="s">
        <v>16</v>
      </c>
      <c r="E284" s="13" t="s">
        <v>479</v>
      </c>
      <c r="F284" s="13" t="s">
        <v>23</v>
      </c>
      <c r="G284" s="13" t="s">
        <v>480</v>
      </c>
      <c r="H284" s="13">
        <v>28.4</v>
      </c>
      <c r="I284" s="13">
        <v>5</v>
      </c>
      <c r="J284" s="13">
        <v>0</v>
      </c>
      <c r="K284" s="21">
        <v>13.348000000000001</v>
      </c>
    </row>
    <row r="285" spans="1:11" x14ac:dyDescent="0.3">
      <c r="A285" s="20" t="s">
        <v>481</v>
      </c>
      <c r="B285" s="14">
        <v>42714</v>
      </c>
      <c r="C285" s="14" t="str">
        <f t="shared" si="4"/>
        <v>Dec</v>
      </c>
      <c r="D285" s="13" t="s">
        <v>16</v>
      </c>
      <c r="E285" s="13" t="s">
        <v>85</v>
      </c>
      <c r="F285" s="13" t="s">
        <v>18</v>
      </c>
      <c r="G285" s="13" t="s">
        <v>482</v>
      </c>
      <c r="H285" s="13">
        <v>321.56799999999998</v>
      </c>
      <c r="I285" s="13">
        <v>2</v>
      </c>
      <c r="J285" s="13">
        <v>0.2</v>
      </c>
      <c r="K285" s="21">
        <v>28.1372</v>
      </c>
    </row>
    <row r="286" spans="1:11" x14ac:dyDescent="0.3">
      <c r="A286" s="20" t="s">
        <v>483</v>
      </c>
      <c r="B286" s="14">
        <v>42664</v>
      </c>
      <c r="C286" s="14" t="str">
        <f t="shared" si="4"/>
        <v>Oct</v>
      </c>
      <c r="D286" s="13" t="s">
        <v>11</v>
      </c>
      <c r="E286" s="13" t="s">
        <v>484</v>
      </c>
      <c r="F286" s="13" t="s">
        <v>23</v>
      </c>
      <c r="G286" s="13" t="s">
        <v>485</v>
      </c>
      <c r="H286" s="13">
        <v>23.2</v>
      </c>
      <c r="I286" s="13">
        <v>4</v>
      </c>
      <c r="J286" s="13">
        <v>0</v>
      </c>
      <c r="K286" s="21">
        <v>10.44</v>
      </c>
    </row>
    <row r="287" spans="1:11" x14ac:dyDescent="0.3">
      <c r="A287" s="20" t="s">
        <v>483</v>
      </c>
      <c r="B287" s="14">
        <v>42664</v>
      </c>
      <c r="C287" s="14" t="str">
        <f t="shared" si="4"/>
        <v>Oct</v>
      </c>
      <c r="D287" s="13" t="s">
        <v>11</v>
      </c>
      <c r="E287" s="13" t="s">
        <v>484</v>
      </c>
      <c r="F287" s="13" t="s">
        <v>23</v>
      </c>
      <c r="G287" s="13" t="s">
        <v>486</v>
      </c>
      <c r="H287" s="13">
        <v>7.36</v>
      </c>
      <c r="I287" s="13">
        <v>2</v>
      </c>
      <c r="J287" s="13">
        <v>0</v>
      </c>
      <c r="K287" s="21">
        <v>0.1472</v>
      </c>
    </row>
    <row r="288" spans="1:11" x14ac:dyDescent="0.3">
      <c r="A288" s="20" t="s">
        <v>483</v>
      </c>
      <c r="B288" s="14">
        <v>42664</v>
      </c>
      <c r="C288" s="14" t="str">
        <f t="shared" si="4"/>
        <v>Oct</v>
      </c>
      <c r="D288" s="13" t="s">
        <v>11</v>
      </c>
      <c r="E288" s="13" t="s">
        <v>484</v>
      </c>
      <c r="F288" s="13" t="s">
        <v>23</v>
      </c>
      <c r="G288" s="13" t="s">
        <v>487</v>
      </c>
      <c r="H288" s="13">
        <v>104.79</v>
      </c>
      <c r="I288" s="13">
        <v>7</v>
      </c>
      <c r="J288" s="13">
        <v>0</v>
      </c>
      <c r="K288" s="21">
        <v>29.341200000000001</v>
      </c>
    </row>
    <row r="289" spans="1:11" x14ac:dyDescent="0.3">
      <c r="A289" s="20" t="s">
        <v>483</v>
      </c>
      <c r="B289" s="14">
        <v>42664</v>
      </c>
      <c r="C289" s="14" t="str">
        <f t="shared" si="4"/>
        <v>Oct</v>
      </c>
      <c r="D289" s="13" t="s">
        <v>11</v>
      </c>
      <c r="E289" s="13" t="s">
        <v>484</v>
      </c>
      <c r="F289" s="13" t="s">
        <v>18</v>
      </c>
      <c r="G289" s="13" t="s">
        <v>185</v>
      </c>
      <c r="H289" s="13">
        <v>1043.92</v>
      </c>
      <c r="I289" s="13">
        <v>4</v>
      </c>
      <c r="J289" s="13">
        <v>0</v>
      </c>
      <c r="K289" s="21">
        <v>271.41919999999999</v>
      </c>
    </row>
    <row r="290" spans="1:11" x14ac:dyDescent="0.3">
      <c r="A290" s="20" t="s">
        <v>488</v>
      </c>
      <c r="B290" s="14">
        <v>42567</v>
      </c>
      <c r="C290" s="14" t="str">
        <f t="shared" si="4"/>
        <v>Jul</v>
      </c>
      <c r="D290" s="13" t="s">
        <v>21</v>
      </c>
      <c r="E290" s="13" t="s">
        <v>489</v>
      </c>
      <c r="F290" s="13" t="s">
        <v>23</v>
      </c>
      <c r="G290" s="13" t="s">
        <v>423</v>
      </c>
      <c r="H290" s="13">
        <v>37.223999999999997</v>
      </c>
      <c r="I290" s="13">
        <v>3</v>
      </c>
      <c r="J290" s="13">
        <v>0.2</v>
      </c>
      <c r="K290" s="21">
        <v>3.7223999999999999</v>
      </c>
    </row>
    <row r="291" spans="1:11" x14ac:dyDescent="0.3">
      <c r="A291" s="20" t="s">
        <v>488</v>
      </c>
      <c r="B291" s="14">
        <v>42567</v>
      </c>
      <c r="C291" s="14" t="str">
        <f t="shared" si="4"/>
        <v>Jul</v>
      </c>
      <c r="D291" s="13" t="s">
        <v>21</v>
      </c>
      <c r="E291" s="13" t="s">
        <v>489</v>
      </c>
      <c r="F291" s="13" t="s">
        <v>23</v>
      </c>
      <c r="G291" s="13" t="s">
        <v>222</v>
      </c>
      <c r="H291" s="13">
        <v>20.015999999999998</v>
      </c>
      <c r="I291" s="13">
        <v>3</v>
      </c>
      <c r="J291" s="13">
        <v>0.2</v>
      </c>
      <c r="K291" s="21">
        <v>6.2549999999999999</v>
      </c>
    </row>
    <row r="292" spans="1:11" x14ac:dyDescent="0.3">
      <c r="A292" s="20" t="s">
        <v>490</v>
      </c>
      <c r="B292" s="14">
        <v>42525</v>
      </c>
      <c r="C292" s="14" t="str">
        <f t="shared" si="4"/>
        <v>Jun</v>
      </c>
      <c r="D292" s="13" t="s">
        <v>21</v>
      </c>
      <c r="E292" s="13" t="s">
        <v>147</v>
      </c>
      <c r="F292" s="13" t="s">
        <v>23</v>
      </c>
      <c r="G292" s="13" t="s">
        <v>491</v>
      </c>
      <c r="H292" s="13">
        <v>25.92</v>
      </c>
      <c r="I292" s="13">
        <v>5</v>
      </c>
      <c r="J292" s="13">
        <v>0.2</v>
      </c>
      <c r="K292" s="21">
        <v>9.3960000000000008</v>
      </c>
    </row>
    <row r="293" spans="1:11" x14ac:dyDescent="0.3">
      <c r="A293" s="20" t="s">
        <v>490</v>
      </c>
      <c r="B293" s="14">
        <v>42525</v>
      </c>
      <c r="C293" s="14" t="str">
        <f t="shared" si="4"/>
        <v>Jun</v>
      </c>
      <c r="D293" s="13" t="s">
        <v>21</v>
      </c>
      <c r="E293" s="13" t="s">
        <v>147</v>
      </c>
      <c r="F293" s="13" t="s">
        <v>18</v>
      </c>
      <c r="G293" s="13" t="s">
        <v>492</v>
      </c>
      <c r="H293" s="13">
        <v>419.68</v>
      </c>
      <c r="I293" s="13">
        <v>5</v>
      </c>
      <c r="J293" s="13">
        <v>0.6</v>
      </c>
      <c r="K293" s="21">
        <v>-356.72800000000001</v>
      </c>
    </row>
    <row r="294" spans="1:11" x14ac:dyDescent="0.3">
      <c r="A294" s="20" t="s">
        <v>490</v>
      </c>
      <c r="B294" s="14">
        <v>42525</v>
      </c>
      <c r="C294" s="14" t="str">
        <f t="shared" si="4"/>
        <v>Jun</v>
      </c>
      <c r="D294" s="13" t="s">
        <v>21</v>
      </c>
      <c r="E294" s="13" t="s">
        <v>147</v>
      </c>
      <c r="F294" s="13" t="s">
        <v>18</v>
      </c>
      <c r="G294" s="13" t="s">
        <v>493</v>
      </c>
      <c r="H294" s="13">
        <v>11.688000000000001</v>
      </c>
      <c r="I294" s="13">
        <v>3</v>
      </c>
      <c r="J294" s="13">
        <v>0.6</v>
      </c>
      <c r="K294" s="21">
        <v>-4.6752000000000002</v>
      </c>
    </row>
    <row r="295" spans="1:11" x14ac:dyDescent="0.3">
      <c r="A295" s="20" t="s">
        <v>490</v>
      </c>
      <c r="B295" s="14">
        <v>42525</v>
      </c>
      <c r="C295" s="14" t="str">
        <f t="shared" si="4"/>
        <v>Jun</v>
      </c>
      <c r="D295" s="13" t="s">
        <v>21</v>
      </c>
      <c r="E295" s="13" t="s">
        <v>147</v>
      </c>
      <c r="F295" s="13" t="s">
        <v>13</v>
      </c>
      <c r="G295" s="13" t="s">
        <v>494</v>
      </c>
      <c r="H295" s="13">
        <v>31.984000000000002</v>
      </c>
      <c r="I295" s="13">
        <v>2</v>
      </c>
      <c r="J295" s="13">
        <v>0.2</v>
      </c>
      <c r="K295" s="21">
        <v>11.1944</v>
      </c>
    </row>
    <row r="296" spans="1:11" x14ac:dyDescent="0.3">
      <c r="A296" s="20" t="s">
        <v>490</v>
      </c>
      <c r="B296" s="14">
        <v>42525</v>
      </c>
      <c r="C296" s="14" t="str">
        <f t="shared" si="4"/>
        <v>Jun</v>
      </c>
      <c r="D296" s="13" t="s">
        <v>21</v>
      </c>
      <c r="E296" s="13" t="s">
        <v>147</v>
      </c>
      <c r="F296" s="13" t="s">
        <v>18</v>
      </c>
      <c r="G296" s="13" t="s">
        <v>495</v>
      </c>
      <c r="H296" s="13">
        <v>177.22499999999999</v>
      </c>
      <c r="I296" s="13">
        <v>5</v>
      </c>
      <c r="J296" s="13">
        <v>0.5</v>
      </c>
      <c r="K296" s="21">
        <v>-120.51300000000001</v>
      </c>
    </row>
    <row r="297" spans="1:11" x14ac:dyDescent="0.3">
      <c r="A297" s="20" t="s">
        <v>490</v>
      </c>
      <c r="B297" s="14">
        <v>42525</v>
      </c>
      <c r="C297" s="14" t="str">
        <f t="shared" si="4"/>
        <v>Jun</v>
      </c>
      <c r="D297" s="13" t="s">
        <v>21</v>
      </c>
      <c r="E297" s="13" t="s">
        <v>147</v>
      </c>
      <c r="F297" s="13" t="s">
        <v>18</v>
      </c>
      <c r="G297" s="13" t="s">
        <v>496</v>
      </c>
      <c r="H297" s="13">
        <v>4.0439999999999996</v>
      </c>
      <c r="I297" s="13">
        <v>3</v>
      </c>
      <c r="J297" s="13">
        <v>0.6</v>
      </c>
      <c r="K297" s="21">
        <v>-2.8308</v>
      </c>
    </row>
    <row r="298" spans="1:11" x14ac:dyDescent="0.3">
      <c r="A298" s="20" t="s">
        <v>490</v>
      </c>
      <c r="B298" s="14">
        <v>42525</v>
      </c>
      <c r="C298" s="14" t="str">
        <f t="shared" si="4"/>
        <v>Jun</v>
      </c>
      <c r="D298" s="13" t="s">
        <v>21</v>
      </c>
      <c r="E298" s="13" t="s">
        <v>147</v>
      </c>
      <c r="F298" s="13" t="s">
        <v>23</v>
      </c>
      <c r="G298" s="13" t="s">
        <v>128</v>
      </c>
      <c r="H298" s="13">
        <v>7.4080000000000004</v>
      </c>
      <c r="I298" s="13">
        <v>2</v>
      </c>
      <c r="J298" s="13">
        <v>0.2</v>
      </c>
      <c r="K298" s="21">
        <v>1.2038</v>
      </c>
    </row>
    <row r="299" spans="1:11" x14ac:dyDescent="0.3">
      <c r="A299" s="20" t="s">
        <v>497</v>
      </c>
      <c r="B299" s="14">
        <v>42611</v>
      </c>
      <c r="C299" s="14" t="str">
        <f t="shared" si="4"/>
        <v>Aug</v>
      </c>
      <c r="D299" s="13" t="s">
        <v>21</v>
      </c>
      <c r="E299" s="13" t="s">
        <v>147</v>
      </c>
      <c r="F299" s="13" t="s">
        <v>23</v>
      </c>
      <c r="G299" s="13" t="s">
        <v>498</v>
      </c>
      <c r="H299" s="13">
        <v>64.623999999999995</v>
      </c>
      <c r="I299" s="13">
        <v>7</v>
      </c>
      <c r="J299" s="13">
        <v>0.2</v>
      </c>
      <c r="K299" s="21">
        <v>22.618400000000001</v>
      </c>
    </row>
    <row r="300" spans="1:11" x14ac:dyDescent="0.3">
      <c r="A300" s="20" t="s">
        <v>497</v>
      </c>
      <c r="B300" s="14">
        <v>42611</v>
      </c>
      <c r="C300" s="14" t="str">
        <f t="shared" si="4"/>
        <v>Aug</v>
      </c>
      <c r="D300" s="13" t="s">
        <v>21</v>
      </c>
      <c r="E300" s="13" t="s">
        <v>147</v>
      </c>
      <c r="F300" s="13" t="s">
        <v>13</v>
      </c>
      <c r="G300" s="13" t="s">
        <v>499</v>
      </c>
      <c r="H300" s="13">
        <v>95.975999999999999</v>
      </c>
      <c r="I300" s="13">
        <v>3</v>
      </c>
      <c r="J300" s="13">
        <v>0.2</v>
      </c>
      <c r="K300" s="21">
        <v>-10.7973</v>
      </c>
    </row>
    <row r="301" spans="1:11" x14ac:dyDescent="0.3">
      <c r="A301" s="20" t="s">
        <v>497</v>
      </c>
      <c r="B301" s="14">
        <v>42611</v>
      </c>
      <c r="C301" s="14" t="str">
        <f t="shared" si="4"/>
        <v>Aug</v>
      </c>
      <c r="D301" s="13" t="s">
        <v>21</v>
      </c>
      <c r="E301" s="13" t="s">
        <v>147</v>
      </c>
      <c r="F301" s="13" t="s">
        <v>23</v>
      </c>
      <c r="G301" s="13" t="s">
        <v>500</v>
      </c>
      <c r="H301" s="13">
        <v>1.788</v>
      </c>
      <c r="I301" s="13">
        <v>3</v>
      </c>
      <c r="J301" s="13">
        <v>0.8</v>
      </c>
      <c r="K301" s="21">
        <v>-3.0396000000000001</v>
      </c>
    </row>
    <row r="302" spans="1:11" x14ac:dyDescent="0.3">
      <c r="A302" s="20" t="s">
        <v>501</v>
      </c>
      <c r="B302" s="14">
        <v>42442</v>
      </c>
      <c r="C302" s="14" t="str">
        <f t="shared" si="4"/>
        <v>Mar</v>
      </c>
      <c r="D302" s="13" t="s">
        <v>16</v>
      </c>
      <c r="E302" s="13" t="s">
        <v>502</v>
      </c>
      <c r="F302" s="13" t="s">
        <v>23</v>
      </c>
      <c r="G302" s="13" t="s">
        <v>503</v>
      </c>
      <c r="H302" s="13">
        <v>157.91999999999999</v>
      </c>
      <c r="I302" s="13">
        <v>5</v>
      </c>
      <c r="J302" s="13">
        <v>0.2</v>
      </c>
      <c r="K302" s="21">
        <v>17.765999999999998</v>
      </c>
    </row>
    <row r="303" spans="1:11" x14ac:dyDescent="0.3">
      <c r="A303" s="20" t="s">
        <v>501</v>
      </c>
      <c r="B303" s="14">
        <v>42442</v>
      </c>
      <c r="C303" s="14" t="str">
        <f t="shared" si="4"/>
        <v>Mar</v>
      </c>
      <c r="D303" s="13" t="s">
        <v>16</v>
      </c>
      <c r="E303" s="13" t="s">
        <v>502</v>
      </c>
      <c r="F303" s="13" t="s">
        <v>13</v>
      </c>
      <c r="G303" s="13" t="s">
        <v>504</v>
      </c>
      <c r="H303" s="13">
        <v>203.184</v>
      </c>
      <c r="I303" s="13">
        <v>2</v>
      </c>
      <c r="J303" s="13">
        <v>0.2</v>
      </c>
      <c r="K303" s="21">
        <v>15.238799999999999</v>
      </c>
    </row>
    <row r="304" spans="1:11" x14ac:dyDescent="0.3">
      <c r="A304" s="20" t="s">
        <v>505</v>
      </c>
      <c r="B304" s="14">
        <v>42465</v>
      </c>
      <c r="C304" s="14" t="str">
        <f t="shared" si="4"/>
        <v>Apr</v>
      </c>
      <c r="D304" s="13" t="s">
        <v>21</v>
      </c>
      <c r="E304" s="13" t="s">
        <v>206</v>
      </c>
      <c r="F304" s="13" t="s">
        <v>23</v>
      </c>
      <c r="G304" s="13" t="s">
        <v>506</v>
      </c>
      <c r="H304" s="13">
        <v>158.36799999999999</v>
      </c>
      <c r="I304" s="13">
        <v>7</v>
      </c>
      <c r="J304" s="13">
        <v>0.2</v>
      </c>
      <c r="K304" s="21">
        <v>13.857200000000001</v>
      </c>
    </row>
    <row r="305" spans="1:11" x14ac:dyDescent="0.3">
      <c r="A305" s="20" t="s">
        <v>507</v>
      </c>
      <c r="B305" s="14">
        <v>42709</v>
      </c>
      <c r="C305" s="14" t="str">
        <f t="shared" si="4"/>
        <v>Dec</v>
      </c>
      <c r="D305" s="13" t="s">
        <v>16</v>
      </c>
      <c r="E305" s="13" t="s">
        <v>17</v>
      </c>
      <c r="F305" s="13" t="s">
        <v>23</v>
      </c>
      <c r="G305" s="13" t="s">
        <v>79</v>
      </c>
      <c r="H305" s="13">
        <v>407.976</v>
      </c>
      <c r="I305" s="13">
        <v>3</v>
      </c>
      <c r="J305" s="13">
        <v>0.2</v>
      </c>
      <c r="K305" s="21">
        <v>132.59219999999999</v>
      </c>
    </row>
    <row r="306" spans="1:11" x14ac:dyDescent="0.3">
      <c r="A306" s="20" t="s">
        <v>508</v>
      </c>
      <c r="B306" s="14">
        <v>42483</v>
      </c>
      <c r="C306" s="14" t="str">
        <f t="shared" si="4"/>
        <v>Apr</v>
      </c>
      <c r="D306" s="13" t="s">
        <v>16</v>
      </c>
      <c r="E306" s="13" t="s">
        <v>509</v>
      </c>
      <c r="F306" s="13" t="s">
        <v>23</v>
      </c>
      <c r="G306" s="13" t="s">
        <v>41</v>
      </c>
      <c r="H306" s="13">
        <v>251.52</v>
      </c>
      <c r="I306" s="13">
        <v>6</v>
      </c>
      <c r="J306" s="13">
        <v>0.2</v>
      </c>
      <c r="K306" s="21">
        <v>81.744</v>
      </c>
    </row>
    <row r="307" spans="1:11" x14ac:dyDescent="0.3">
      <c r="A307" s="20" t="s">
        <v>508</v>
      </c>
      <c r="B307" s="14">
        <v>42483</v>
      </c>
      <c r="C307" s="14" t="str">
        <f t="shared" si="4"/>
        <v>Apr</v>
      </c>
      <c r="D307" s="13" t="s">
        <v>16</v>
      </c>
      <c r="E307" s="13" t="s">
        <v>509</v>
      </c>
      <c r="F307" s="13" t="s">
        <v>13</v>
      </c>
      <c r="G307" s="13" t="s">
        <v>510</v>
      </c>
      <c r="H307" s="13">
        <v>99.99</v>
      </c>
      <c r="I307" s="13">
        <v>1</v>
      </c>
      <c r="J307" s="13">
        <v>0</v>
      </c>
      <c r="K307" s="21">
        <v>34.996499999999997</v>
      </c>
    </row>
    <row r="308" spans="1:11" x14ac:dyDescent="0.3">
      <c r="A308" s="20" t="s">
        <v>511</v>
      </c>
      <c r="B308" s="14">
        <v>42501</v>
      </c>
      <c r="C308" s="14" t="str">
        <f t="shared" si="4"/>
        <v>May</v>
      </c>
      <c r="D308" s="13" t="s">
        <v>16</v>
      </c>
      <c r="E308" s="13" t="s">
        <v>58</v>
      </c>
      <c r="F308" s="13" t="s">
        <v>23</v>
      </c>
      <c r="G308" s="13" t="s">
        <v>512</v>
      </c>
      <c r="H308" s="13">
        <v>5.98</v>
      </c>
      <c r="I308" s="13">
        <v>1</v>
      </c>
      <c r="J308" s="13">
        <v>0</v>
      </c>
      <c r="K308" s="21">
        <v>2.6909999999999998</v>
      </c>
    </row>
    <row r="309" spans="1:11" x14ac:dyDescent="0.3">
      <c r="A309" s="20" t="s">
        <v>513</v>
      </c>
      <c r="B309" s="14">
        <v>42461</v>
      </c>
      <c r="C309" s="14" t="str">
        <f t="shared" si="4"/>
        <v>Apr</v>
      </c>
      <c r="D309" s="13" t="s">
        <v>11</v>
      </c>
      <c r="E309" s="13" t="s">
        <v>514</v>
      </c>
      <c r="F309" s="13" t="s">
        <v>23</v>
      </c>
      <c r="G309" s="13" t="s">
        <v>515</v>
      </c>
      <c r="H309" s="13">
        <v>59.52</v>
      </c>
      <c r="I309" s="13">
        <v>3</v>
      </c>
      <c r="J309" s="13">
        <v>0</v>
      </c>
      <c r="K309" s="21">
        <v>15.475199999999999</v>
      </c>
    </row>
    <row r="310" spans="1:11" x14ac:dyDescent="0.3">
      <c r="A310" s="20" t="s">
        <v>513</v>
      </c>
      <c r="B310" s="14">
        <v>42461</v>
      </c>
      <c r="C310" s="14" t="str">
        <f t="shared" si="4"/>
        <v>Apr</v>
      </c>
      <c r="D310" s="13" t="s">
        <v>11</v>
      </c>
      <c r="E310" s="13" t="s">
        <v>514</v>
      </c>
      <c r="F310" s="13" t="s">
        <v>23</v>
      </c>
      <c r="G310" s="13" t="s">
        <v>516</v>
      </c>
      <c r="H310" s="13">
        <v>161.94</v>
      </c>
      <c r="I310" s="13">
        <v>3</v>
      </c>
      <c r="J310" s="13">
        <v>0</v>
      </c>
      <c r="K310" s="21">
        <v>9.7164000000000001</v>
      </c>
    </row>
    <row r="311" spans="1:11" x14ac:dyDescent="0.3">
      <c r="A311" s="20" t="s">
        <v>513</v>
      </c>
      <c r="B311" s="14">
        <v>42461</v>
      </c>
      <c r="C311" s="14" t="str">
        <f t="shared" si="4"/>
        <v>Apr</v>
      </c>
      <c r="D311" s="13" t="s">
        <v>11</v>
      </c>
      <c r="E311" s="13" t="s">
        <v>514</v>
      </c>
      <c r="F311" s="13" t="s">
        <v>23</v>
      </c>
      <c r="G311" s="13" t="s">
        <v>111</v>
      </c>
      <c r="H311" s="13">
        <v>263.88</v>
      </c>
      <c r="I311" s="13">
        <v>6</v>
      </c>
      <c r="J311" s="13">
        <v>0</v>
      </c>
      <c r="K311" s="21">
        <v>71.247600000000006</v>
      </c>
    </row>
    <row r="312" spans="1:11" x14ac:dyDescent="0.3">
      <c r="A312" s="20" t="s">
        <v>513</v>
      </c>
      <c r="B312" s="14">
        <v>42461</v>
      </c>
      <c r="C312" s="14" t="str">
        <f t="shared" si="4"/>
        <v>Apr</v>
      </c>
      <c r="D312" s="13" t="s">
        <v>11</v>
      </c>
      <c r="E312" s="13" t="s">
        <v>514</v>
      </c>
      <c r="F312" s="13" t="s">
        <v>23</v>
      </c>
      <c r="G312" s="13" t="s">
        <v>517</v>
      </c>
      <c r="H312" s="13">
        <v>30.48</v>
      </c>
      <c r="I312" s="13">
        <v>3</v>
      </c>
      <c r="J312" s="13">
        <v>0</v>
      </c>
      <c r="K312" s="21">
        <v>7.9248000000000003</v>
      </c>
    </row>
    <row r="313" spans="1:11" x14ac:dyDescent="0.3">
      <c r="A313" s="20" t="s">
        <v>513</v>
      </c>
      <c r="B313" s="14">
        <v>42461</v>
      </c>
      <c r="C313" s="14" t="str">
        <f t="shared" si="4"/>
        <v>Apr</v>
      </c>
      <c r="D313" s="13" t="s">
        <v>11</v>
      </c>
      <c r="E313" s="13" t="s">
        <v>514</v>
      </c>
      <c r="F313" s="13" t="s">
        <v>23</v>
      </c>
      <c r="G313" s="13" t="s">
        <v>518</v>
      </c>
      <c r="H313" s="13">
        <v>9.84</v>
      </c>
      <c r="I313" s="13">
        <v>3</v>
      </c>
      <c r="J313" s="13">
        <v>0</v>
      </c>
      <c r="K313" s="21">
        <v>2.8536000000000001</v>
      </c>
    </row>
    <row r="314" spans="1:11" x14ac:dyDescent="0.3">
      <c r="A314" s="20" t="s">
        <v>513</v>
      </c>
      <c r="B314" s="14">
        <v>42461</v>
      </c>
      <c r="C314" s="14" t="str">
        <f t="shared" si="4"/>
        <v>Apr</v>
      </c>
      <c r="D314" s="13" t="s">
        <v>11</v>
      </c>
      <c r="E314" s="13" t="s">
        <v>514</v>
      </c>
      <c r="F314" s="13" t="s">
        <v>13</v>
      </c>
      <c r="G314" s="13" t="s">
        <v>519</v>
      </c>
      <c r="H314" s="13">
        <v>35.119999999999997</v>
      </c>
      <c r="I314" s="13">
        <v>4</v>
      </c>
      <c r="J314" s="13">
        <v>0</v>
      </c>
      <c r="K314" s="21">
        <v>9.1311999999999998</v>
      </c>
    </row>
    <row r="315" spans="1:11" x14ac:dyDescent="0.3">
      <c r="A315" s="20" t="s">
        <v>520</v>
      </c>
      <c r="B315" s="14">
        <v>42499</v>
      </c>
      <c r="C315" s="14" t="str">
        <f t="shared" si="4"/>
        <v>May</v>
      </c>
      <c r="D315" s="13" t="s">
        <v>16</v>
      </c>
      <c r="E315" s="13" t="s">
        <v>17</v>
      </c>
      <c r="F315" s="13" t="s">
        <v>13</v>
      </c>
      <c r="G315" s="13" t="s">
        <v>521</v>
      </c>
      <c r="H315" s="13">
        <v>93.98</v>
      </c>
      <c r="I315" s="13">
        <v>2</v>
      </c>
      <c r="J315" s="13">
        <v>0</v>
      </c>
      <c r="K315" s="21">
        <v>13.1572</v>
      </c>
    </row>
    <row r="316" spans="1:11" x14ac:dyDescent="0.3">
      <c r="A316" s="20" t="s">
        <v>522</v>
      </c>
      <c r="B316" s="14">
        <v>42541</v>
      </c>
      <c r="C316" s="14" t="str">
        <f t="shared" si="4"/>
        <v>Jun</v>
      </c>
      <c r="D316" s="13" t="s">
        <v>11</v>
      </c>
      <c r="E316" s="13" t="s">
        <v>523</v>
      </c>
      <c r="F316" s="13" t="s">
        <v>13</v>
      </c>
      <c r="G316" s="13" t="s">
        <v>354</v>
      </c>
      <c r="H316" s="13">
        <v>45</v>
      </c>
      <c r="I316" s="13">
        <v>3</v>
      </c>
      <c r="J316" s="13">
        <v>0</v>
      </c>
      <c r="K316" s="21">
        <v>4.95</v>
      </c>
    </row>
    <row r="317" spans="1:11" x14ac:dyDescent="0.3">
      <c r="A317" s="20" t="s">
        <v>522</v>
      </c>
      <c r="B317" s="14">
        <v>42541</v>
      </c>
      <c r="C317" s="14" t="str">
        <f t="shared" si="4"/>
        <v>Jun</v>
      </c>
      <c r="D317" s="13" t="s">
        <v>11</v>
      </c>
      <c r="E317" s="13" t="s">
        <v>523</v>
      </c>
      <c r="F317" s="13" t="s">
        <v>13</v>
      </c>
      <c r="G317" s="13" t="s">
        <v>524</v>
      </c>
      <c r="H317" s="13">
        <v>21.8</v>
      </c>
      <c r="I317" s="13">
        <v>2</v>
      </c>
      <c r="J317" s="13">
        <v>0</v>
      </c>
      <c r="K317" s="21">
        <v>6.1040000000000001</v>
      </c>
    </row>
    <row r="318" spans="1:11" x14ac:dyDescent="0.3">
      <c r="A318" s="20" t="s">
        <v>525</v>
      </c>
      <c r="B318" s="14">
        <v>43080</v>
      </c>
      <c r="C318" s="14" t="str">
        <f t="shared" si="4"/>
        <v>Dec</v>
      </c>
      <c r="D318" s="13" t="s">
        <v>11</v>
      </c>
      <c r="E318" s="13" t="s">
        <v>88</v>
      </c>
      <c r="F318" s="13" t="s">
        <v>23</v>
      </c>
      <c r="G318" s="13" t="s">
        <v>526</v>
      </c>
      <c r="H318" s="13">
        <v>23.36</v>
      </c>
      <c r="I318" s="13">
        <v>4</v>
      </c>
      <c r="J318" s="13">
        <v>0.2</v>
      </c>
      <c r="K318" s="21">
        <v>7.8840000000000003</v>
      </c>
    </row>
    <row r="319" spans="1:11" x14ac:dyDescent="0.3">
      <c r="A319" s="20" t="s">
        <v>525</v>
      </c>
      <c r="B319" s="14">
        <v>43080</v>
      </c>
      <c r="C319" s="14" t="str">
        <f t="shared" si="4"/>
        <v>Dec</v>
      </c>
      <c r="D319" s="13" t="s">
        <v>11</v>
      </c>
      <c r="E319" s="13" t="s">
        <v>88</v>
      </c>
      <c r="F319" s="13" t="s">
        <v>13</v>
      </c>
      <c r="G319" s="13" t="s">
        <v>527</v>
      </c>
      <c r="H319" s="13">
        <v>39.979999999999997</v>
      </c>
      <c r="I319" s="13">
        <v>2</v>
      </c>
      <c r="J319" s="13">
        <v>0</v>
      </c>
      <c r="K319" s="21">
        <v>13.5932</v>
      </c>
    </row>
    <row r="320" spans="1:11" x14ac:dyDescent="0.3">
      <c r="A320" s="20" t="s">
        <v>528</v>
      </c>
      <c r="B320" s="14">
        <v>42916</v>
      </c>
      <c r="C320" s="14" t="str">
        <f t="shared" si="4"/>
        <v>Jun</v>
      </c>
      <c r="D320" s="13" t="s">
        <v>16</v>
      </c>
      <c r="E320" s="13" t="s">
        <v>529</v>
      </c>
      <c r="F320" s="13" t="s">
        <v>23</v>
      </c>
      <c r="G320" s="13" t="s">
        <v>530</v>
      </c>
      <c r="H320" s="13">
        <v>75.792000000000002</v>
      </c>
      <c r="I320" s="13">
        <v>3</v>
      </c>
      <c r="J320" s="13">
        <v>0.2</v>
      </c>
      <c r="K320" s="21">
        <v>25.579799999999999</v>
      </c>
    </row>
    <row r="321" spans="1:11" x14ac:dyDescent="0.3">
      <c r="A321" s="20" t="s">
        <v>531</v>
      </c>
      <c r="B321" s="14">
        <v>42884</v>
      </c>
      <c r="C321" s="14" t="str">
        <f t="shared" si="4"/>
        <v>May</v>
      </c>
      <c r="D321" s="13" t="s">
        <v>21</v>
      </c>
      <c r="E321" s="13" t="s">
        <v>532</v>
      </c>
      <c r="F321" s="13" t="s">
        <v>23</v>
      </c>
      <c r="G321" s="13" t="s">
        <v>533</v>
      </c>
      <c r="H321" s="13">
        <v>25.92</v>
      </c>
      <c r="I321" s="13">
        <v>5</v>
      </c>
      <c r="J321" s="13">
        <v>0.2</v>
      </c>
      <c r="K321" s="21">
        <v>9.3960000000000008</v>
      </c>
    </row>
    <row r="322" spans="1:11" x14ac:dyDescent="0.3">
      <c r="A322" s="20" t="s">
        <v>531</v>
      </c>
      <c r="B322" s="14">
        <v>42884</v>
      </c>
      <c r="C322" s="14" t="str">
        <f t="shared" si="4"/>
        <v>May</v>
      </c>
      <c r="D322" s="13" t="s">
        <v>21</v>
      </c>
      <c r="E322" s="13" t="s">
        <v>532</v>
      </c>
      <c r="F322" s="13" t="s">
        <v>23</v>
      </c>
      <c r="G322" s="13" t="s">
        <v>534</v>
      </c>
      <c r="H322" s="13">
        <v>53.423999999999999</v>
      </c>
      <c r="I322" s="13">
        <v>3</v>
      </c>
      <c r="J322" s="13">
        <v>0.2</v>
      </c>
      <c r="K322" s="21">
        <v>4.6745999999999999</v>
      </c>
    </row>
    <row r="323" spans="1:11" x14ac:dyDescent="0.3">
      <c r="A323" s="20" t="s">
        <v>535</v>
      </c>
      <c r="B323" s="14">
        <v>42910</v>
      </c>
      <c r="C323" s="14" t="str">
        <f t="shared" ref="C323:C386" si="5">TEXT(B323,"MMM")</f>
        <v>Jun</v>
      </c>
      <c r="D323" s="13" t="s">
        <v>11</v>
      </c>
      <c r="E323" s="13" t="s">
        <v>536</v>
      </c>
      <c r="F323" s="13" t="s">
        <v>23</v>
      </c>
      <c r="G323" s="13" t="s">
        <v>421</v>
      </c>
      <c r="H323" s="13">
        <v>21.744</v>
      </c>
      <c r="I323" s="13">
        <v>3</v>
      </c>
      <c r="J323" s="13">
        <v>0.2</v>
      </c>
      <c r="K323" s="21">
        <v>6.7949999999999999</v>
      </c>
    </row>
    <row r="324" spans="1:11" x14ac:dyDescent="0.3">
      <c r="A324" s="20" t="s">
        <v>537</v>
      </c>
      <c r="B324" s="14">
        <v>42996</v>
      </c>
      <c r="C324" s="14" t="str">
        <f t="shared" si="5"/>
        <v>Sep</v>
      </c>
      <c r="D324" s="13" t="s">
        <v>16</v>
      </c>
      <c r="E324" s="13" t="s">
        <v>85</v>
      </c>
      <c r="F324" s="13" t="s">
        <v>23</v>
      </c>
      <c r="G324" s="13" t="s">
        <v>538</v>
      </c>
      <c r="H324" s="13">
        <v>8.82</v>
      </c>
      <c r="I324" s="13">
        <v>3</v>
      </c>
      <c r="J324" s="13">
        <v>0</v>
      </c>
      <c r="K324" s="21">
        <v>2.3814000000000002</v>
      </c>
    </row>
    <row r="325" spans="1:11" x14ac:dyDescent="0.3">
      <c r="A325" s="20" t="s">
        <v>537</v>
      </c>
      <c r="B325" s="14">
        <v>42996</v>
      </c>
      <c r="C325" s="14" t="str">
        <f t="shared" si="5"/>
        <v>Sep</v>
      </c>
      <c r="D325" s="13" t="s">
        <v>16</v>
      </c>
      <c r="E325" s="13" t="s">
        <v>85</v>
      </c>
      <c r="F325" s="13" t="s">
        <v>23</v>
      </c>
      <c r="G325" s="13" t="s">
        <v>539</v>
      </c>
      <c r="H325" s="13">
        <v>10.86</v>
      </c>
      <c r="I325" s="13">
        <v>3</v>
      </c>
      <c r="J325" s="13">
        <v>0</v>
      </c>
      <c r="K325" s="21">
        <v>5.1041999999999996</v>
      </c>
    </row>
    <row r="326" spans="1:11" x14ac:dyDescent="0.3">
      <c r="A326" s="20" t="s">
        <v>537</v>
      </c>
      <c r="B326" s="14">
        <v>42996</v>
      </c>
      <c r="C326" s="14" t="str">
        <f t="shared" si="5"/>
        <v>Sep</v>
      </c>
      <c r="D326" s="13" t="s">
        <v>16</v>
      </c>
      <c r="E326" s="13" t="s">
        <v>85</v>
      </c>
      <c r="F326" s="13" t="s">
        <v>23</v>
      </c>
      <c r="G326" s="13" t="s">
        <v>540</v>
      </c>
      <c r="H326" s="13">
        <v>143.69999999999999</v>
      </c>
      <c r="I326" s="13">
        <v>3</v>
      </c>
      <c r="J326" s="13">
        <v>0</v>
      </c>
      <c r="K326" s="21">
        <v>68.975999999999999</v>
      </c>
    </row>
    <row r="327" spans="1:11" x14ac:dyDescent="0.3">
      <c r="A327" s="20" t="s">
        <v>541</v>
      </c>
      <c r="B327" s="14">
        <v>43045</v>
      </c>
      <c r="C327" s="14" t="str">
        <f t="shared" si="5"/>
        <v>Nov</v>
      </c>
      <c r="D327" s="13" t="s">
        <v>11</v>
      </c>
      <c r="E327" s="13" t="s">
        <v>542</v>
      </c>
      <c r="F327" s="13" t="s">
        <v>23</v>
      </c>
      <c r="G327" s="13" t="s">
        <v>543</v>
      </c>
      <c r="H327" s="13">
        <v>46.26</v>
      </c>
      <c r="I327" s="13">
        <v>3</v>
      </c>
      <c r="J327" s="13">
        <v>0</v>
      </c>
      <c r="K327" s="21">
        <v>12.0276</v>
      </c>
    </row>
    <row r="328" spans="1:11" x14ac:dyDescent="0.3">
      <c r="A328" s="20" t="s">
        <v>544</v>
      </c>
      <c r="B328" s="14">
        <v>43027</v>
      </c>
      <c r="C328" s="14" t="str">
        <f t="shared" si="5"/>
        <v>Oct</v>
      </c>
      <c r="D328" s="13" t="s">
        <v>21</v>
      </c>
      <c r="E328" s="13" t="s">
        <v>206</v>
      </c>
      <c r="F328" s="13" t="s">
        <v>23</v>
      </c>
      <c r="G328" s="13" t="s">
        <v>239</v>
      </c>
      <c r="H328" s="13">
        <v>29.472000000000001</v>
      </c>
      <c r="I328" s="13">
        <v>3</v>
      </c>
      <c r="J328" s="13">
        <v>0.2</v>
      </c>
      <c r="K328" s="21">
        <v>9.9467999999999996</v>
      </c>
    </row>
    <row r="329" spans="1:11" x14ac:dyDescent="0.3">
      <c r="A329" s="20" t="s">
        <v>545</v>
      </c>
      <c r="B329" s="14">
        <v>43078</v>
      </c>
      <c r="C329" s="14" t="str">
        <f t="shared" si="5"/>
        <v>Dec</v>
      </c>
      <c r="D329" s="13" t="s">
        <v>16</v>
      </c>
      <c r="E329" s="13" t="s">
        <v>546</v>
      </c>
      <c r="F329" s="13" t="s">
        <v>13</v>
      </c>
      <c r="G329" s="13" t="s">
        <v>547</v>
      </c>
      <c r="H329" s="13">
        <v>444.76799999999997</v>
      </c>
      <c r="I329" s="13">
        <v>4</v>
      </c>
      <c r="J329" s="13">
        <v>0.2</v>
      </c>
      <c r="K329" s="21">
        <v>44.476799999999997</v>
      </c>
    </row>
    <row r="330" spans="1:11" x14ac:dyDescent="0.3">
      <c r="A330" s="20" t="s">
        <v>548</v>
      </c>
      <c r="B330" s="14">
        <v>42798</v>
      </c>
      <c r="C330" s="14" t="str">
        <f t="shared" si="5"/>
        <v>Mar</v>
      </c>
      <c r="D330" s="13" t="s">
        <v>16</v>
      </c>
      <c r="E330" s="13" t="s">
        <v>58</v>
      </c>
      <c r="F330" s="13" t="s">
        <v>23</v>
      </c>
      <c r="G330" s="13" t="s">
        <v>549</v>
      </c>
      <c r="H330" s="13">
        <v>9.32</v>
      </c>
      <c r="I330" s="13">
        <v>4</v>
      </c>
      <c r="J330" s="13">
        <v>0</v>
      </c>
      <c r="K330" s="21">
        <v>2.7027999999999999</v>
      </c>
    </row>
    <row r="331" spans="1:11" x14ac:dyDescent="0.3">
      <c r="A331" s="20" t="s">
        <v>548</v>
      </c>
      <c r="B331" s="14">
        <v>42798</v>
      </c>
      <c r="C331" s="14" t="str">
        <f t="shared" si="5"/>
        <v>Mar</v>
      </c>
      <c r="D331" s="13" t="s">
        <v>16</v>
      </c>
      <c r="E331" s="13" t="s">
        <v>58</v>
      </c>
      <c r="F331" s="13" t="s">
        <v>23</v>
      </c>
      <c r="G331" s="13" t="s">
        <v>550</v>
      </c>
      <c r="H331" s="13">
        <v>15.25</v>
      </c>
      <c r="I331" s="13">
        <v>1</v>
      </c>
      <c r="J331" s="13">
        <v>0</v>
      </c>
      <c r="K331" s="21">
        <v>7.0149999999999997</v>
      </c>
    </row>
    <row r="332" spans="1:11" x14ac:dyDescent="0.3">
      <c r="A332" s="20" t="s">
        <v>551</v>
      </c>
      <c r="B332" s="14">
        <v>42840</v>
      </c>
      <c r="C332" s="14" t="str">
        <f t="shared" si="5"/>
        <v>Apr</v>
      </c>
      <c r="D332" s="13" t="s">
        <v>44</v>
      </c>
      <c r="E332" s="13" t="s">
        <v>552</v>
      </c>
      <c r="F332" s="13" t="s">
        <v>23</v>
      </c>
      <c r="G332" s="13" t="s">
        <v>553</v>
      </c>
      <c r="H332" s="13">
        <v>15.552</v>
      </c>
      <c r="I332" s="13">
        <v>3</v>
      </c>
      <c r="J332" s="13">
        <v>0.2</v>
      </c>
      <c r="K332" s="21">
        <v>5.4432</v>
      </c>
    </row>
    <row r="333" spans="1:11" x14ac:dyDescent="0.3">
      <c r="A333" s="20" t="s">
        <v>554</v>
      </c>
      <c r="B333" s="14">
        <v>42992</v>
      </c>
      <c r="C333" s="14" t="str">
        <f t="shared" si="5"/>
        <v>Sep</v>
      </c>
      <c r="D333" s="13" t="s">
        <v>21</v>
      </c>
      <c r="E333" s="13" t="s">
        <v>215</v>
      </c>
      <c r="F333" s="13" t="s">
        <v>23</v>
      </c>
      <c r="G333" s="13" t="s">
        <v>555</v>
      </c>
      <c r="H333" s="13">
        <v>19.05</v>
      </c>
      <c r="I333" s="13">
        <v>3</v>
      </c>
      <c r="J333" s="13">
        <v>0</v>
      </c>
      <c r="K333" s="21">
        <v>8.7629999999999999</v>
      </c>
    </row>
    <row r="334" spans="1:11" x14ac:dyDescent="0.3">
      <c r="A334" s="20" t="s">
        <v>556</v>
      </c>
      <c r="B334" s="14">
        <v>43077</v>
      </c>
      <c r="C334" s="14" t="str">
        <f t="shared" si="5"/>
        <v>Dec</v>
      </c>
      <c r="D334" s="13" t="s">
        <v>16</v>
      </c>
      <c r="E334" s="13" t="s">
        <v>85</v>
      </c>
      <c r="F334" s="13" t="s">
        <v>13</v>
      </c>
      <c r="G334" s="13" t="s">
        <v>327</v>
      </c>
      <c r="H334" s="13">
        <v>179.95</v>
      </c>
      <c r="I334" s="13">
        <v>5</v>
      </c>
      <c r="J334" s="13">
        <v>0</v>
      </c>
      <c r="K334" s="21">
        <v>37.789499999999997</v>
      </c>
    </row>
    <row r="335" spans="1:11" x14ac:dyDescent="0.3">
      <c r="A335" s="20" t="s">
        <v>556</v>
      </c>
      <c r="B335" s="14">
        <v>43077</v>
      </c>
      <c r="C335" s="14" t="str">
        <f t="shared" si="5"/>
        <v>Dec</v>
      </c>
      <c r="D335" s="13" t="s">
        <v>16</v>
      </c>
      <c r="E335" s="13" t="s">
        <v>85</v>
      </c>
      <c r="F335" s="13" t="s">
        <v>13</v>
      </c>
      <c r="G335" s="13" t="s">
        <v>557</v>
      </c>
      <c r="H335" s="13">
        <v>1199.9760000000001</v>
      </c>
      <c r="I335" s="13">
        <v>3</v>
      </c>
      <c r="J335" s="13">
        <v>0.2</v>
      </c>
      <c r="K335" s="21">
        <v>434.99130000000002</v>
      </c>
    </row>
    <row r="336" spans="1:11" x14ac:dyDescent="0.3">
      <c r="A336" s="20" t="s">
        <v>556</v>
      </c>
      <c r="B336" s="14">
        <v>43077</v>
      </c>
      <c r="C336" s="14" t="str">
        <f t="shared" si="5"/>
        <v>Dec</v>
      </c>
      <c r="D336" s="13" t="s">
        <v>16</v>
      </c>
      <c r="E336" s="13" t="s">
        <v>85</v>
      </c>
      <c r="F336" s="13" t="s">
        <v>23</v>
      </c>
      <c r="G336" s="13" t="s">
        <v>558</v>
      </c>
      <c r="H336" s="13">
        <v>27.15</v>
      </c>
      <c r="I336" s="13">
        <v>5</v>
      </c>
      <c r="J336" s="13">
        <v>0</v>
      </c>
      <c r="K336" s="21">
        <v>13.3035</v>
      </c>
    </row>
    <row r="337" spans="1:11" x14ac:dyDescent="0.3">
      <c r="A337" s="20" t="s">
        <v>556</v>
      </c>
      <c r="B337" s="14">
        <v>43077</v>
      </c>
      <c r="C337" s="14" t="str">
        <f t="shared" si="5"/>
        <v>Dec</v>
      </c>
      <c r="D337" s="13" t="s">
        <v>16</v>
      </c>
      <c r="E337" s="13" t="s">
        <v>85</v>
      </c>
      <c r="F337" s="13" t="s">
        <v>18</v>
      </c>
      <c r="G337" s="13" t="s">
        <v>559</v>
      </c>
      <c r="H337" s="13">
        <v>1004.024</v>
      </c>
      <c r="I337" s="13">
        <v>7</v>
      </c>
      <c r="J337" s="13">
        <v>0.2</v>
      </c>
      <c r="K337" s="21">
        <v>-112.95269999999999</v>
      </c>
    </row>
    <row r="338" spans="1:11" x14ac:dyDescent="0.3">
      <c r="A338" s="20" t="s">
        <v>556</v>
      </c>
      <c r="B338" s="14">
        <v>43077</v>
      </c>
      <c r="C338" s="14" t="str">
        <f t="shared" si="5"/>
        <v>Dec</v>
      </c>
      <c r="D338" s="13" t="s">
        <v>16</v>
      </c>
      <c r="E338" s="13" t="s">
        <v>85</v>
      </c>
      <c r="F338" s="13" t="s">
        <v>23</v>
      </c>
      <c r="G338" s="13" t="s">
        <v>560</v>
      </c>
      <c r="H338" s="13">
        <v>9.68</v>
      </c>
      <c r="I338" s="13">
        <v>1</v>
      </c>
      <c r="J338" s="13">
        <v>0</v>
      </c>
      <c r="K338" s="21">
        <v>4.6463999999999999</v>
      </c>
    </row>
    <row r="339" spans="1:11" x14ac:dyDescent="0.3">
      <c r="A339" s="20" t="s">
        <v>556</v>
      </c>
      <c r="B339" s="14">
        <v>43077</v>
      </c>
      <c r="C339" s="14" t="str">
        <f t="shared" si="5"/>
        <v>Dec</v>
      </c>
      <c r="D339" s="13" t="s">
        <v>16</v>
      </c>
      <c r="E339" s="13" t="s">
        <v>85</v>
      </c>
      <c r="F339" s="13" t="s">
        <v>23</v>
      </c>
      <c r="G339" s="13" t="s">
        <v>561</v>
      </c>
      <c r="H339" s="13">
        <v>28.35</v>
      </c>
      <c r="I339" s="13">
        <v>9</v>
      </c>
      <c r="J339" s="13">
        <v>0</v>
      </c>
      <c r="K339" s="21">
        <v>13.608000000000001</v>
      </c>
    </row>
    <row r="340" spans="1:11" x14ac:dyDescent="0.3">
      <c r="A340" s="20" t="s">
        <v>556</v>
      </c>
      <c r="B340" s="14">
        <v>43077</v>
      </c>
      <c r="C340" s="14" t="str">
        <f t="shared" si="5"/>
        <v>Dec</v>
      </c>
      <c r="D340" s="13" t="s">
        <v>16</v>
      </c>
      <c r="E340" s="13" t="s">
        <v>85</v>
      </c>
      <c r="F340" s="13" t="s">
        <v>23</v>
      </c>
      <c r="G340" s="13" t="s">
        <v>468</v>
      </c>
      <c r="H340" s="13">
        <v>55.98</v>
      </c>
      <c r="I340" s="13">
        <v>1</v>
      </c>
      <c r="J340" s="13">
        <v>0</v>
      </c>
      <c r="K340" s="21">
        <v>27.430199999999999</v>
      </c>
    </row>
    <row r="341" spans="1:11" x14ac:dyDescent="0.3">
      <c r="A341" s="20" t="s">
        <v>556</v>
      </c>
      <c r="B341" s="14">
        <v>43077</v>
      </c>
      <c r="C341" s="14" t="str">
        <f t="shared" si="5"/>
        <v>Dec</v>
      </c>
      <c r="D341" s="13" t="s">
        <v>16</v>
      </c>
      <c r="E341" s="13" t="s">
        <v>85</v>
      </c>
      <c r="F341" s="13" t="s">
        <v>18</v>
      </c>
      <c r="G341" s="13" t="s">
        <v>562</v>
      </c>
      <c r="H341" s="13">
        <v>1336.829</v>
      </c>
      <c r="I341" s="13">
        <v>13</v>
      </c>
      <c r="J341" s="13">
        <v>0.15</v>
      </c>
      <c r="K341" s="21">
        <v>31.454799999999999</v>
      </c>
    </row>
    <row r="342" spans="1:11" x14ac:dyDescent="0.3">
      <c r="A342" s="20" t="s">
        <v>556</v>
      </c>
      <c r="B342" s="14">
        <v>43077</v>
      </c>
      <c r="C342" s="14" t="str">
        <f t="shared" si="5"/>
        <v>Dec</v>
      </c>
      <c r="D342" s="13" t="s">
        <v>16</v>
      </c>
      <c r="E342" s="13" t="s">
        <v>85</v>
      </c>
      <c r="F342" s="13" t="s">
        <v>18</v>
      </c>
      <c r="G342" s="13" t="s">
        <v>563</v>
      </c>
      <c r="H342" s="13">
        <v>113.568</v>
      </c>
      <c r="I342" s="13">
        <v>2</v>
      </c>
      <c r="J342" s="13">
        <v>0.2</v>
      </c>
      <c r="K342" s="21">
        <v>-18.454799999999999</v>
      </c>
    </row>
    <row r="343" spans="1:11" x14ac:dyDescent="0.3">
      <c r="A343" s="20" t="s">
        <v>564</v>
      </c>
      <c r="B343" s="14">
        <v>43093</v>
      </c>
      <c r="C343" s="14" t="str">
        <f t="shared" si="5"/>
        <v>Dec</v>
      </c>
      <c r="D343" s="13" t="s">
        <v>11</v>
      </c>
      <c r="E343" s="13" t="s">
        <v>88</v>
      </c>
      <c r="F343" s="13" t="s">
        <v>23</v>
      </c>
      <c r="G343" s="13" t="s">
        <v>565</v>
      </c>
      <c r="H343" s="13">
        <v>35.909999999999997</v>
      </c>
      <c r="I343" s="13">
        <v>3</v>
      </c>
      <c r="J343" s="13">
        <v>0</v>
      </c>
      <c r="K343" s="21">
        <v>9.6957000000000004</v>
      </c>
    </row>
    <row r="344" spans="1:11" x14ac:dyDescent="0.3">
      <c r="A344" s="20" t="s">
        <v>566</v>
      </c>
      <c r="B344" s="14">
        <v>42994</v>
      </c>
      <c r="C344" s="14" t="str">
        <f t="shared" si="5"/>
        <v>Sep</v>
      </c>
      <c r="D344" s="13" t="s">
        <v>16</v>
      </c>
      <c r="E344" s="13" t="s">
        <v>567</v>
      </c>
      <c r="F344" s="13" t="s">
        <v>23</v>
      </c>
      <c r="G344" s="13" t="s">
        <v>568</v>
      </c>
      <c r="H344" s="13">
        <v>8.82</v>
      </c>
      <c r="I344" s="13">
        <v>2</v>
      </c>
      <c r="J344" s="13">
        <v>0</v>
      </c>
      <c r="K344" s="21">
        <v>4.0571999999999999</v>
      </c>
    </row>
    <row r="345" spans="1:11" x14ac:dyDescent="0.3">
      <c r="A345" s="20" t="s">
        <v>566</v>
      </c>
      <c r="B345" s="14">
        <v>42994</v>
      </c>
      <c r="C345" s="14" t="str">
        <f t="shared" si="5"/>
        <v>Sep</v>
      </c>
      <c r="D345" s="13" t="s">
        <v>16</v>
      </c>
      <c r="E345" s="13" t="s">
        <v>567</v>
      </c>
      <c r="F345" s="13" t="s">
        <v>23</v>
      </c>
      <c r="G345" s="13" t="s">
        <v>569</v>
      </c>
      <c r="H345" s="13">
        <v>5.98</v>
      </c>
      <c r="I345" s="13">
        <v>1</v>
      </c>
      <c r="J345" s="13">
        <v>0</v>
      </c>
      <c r="K345" s="21">
        <v>1.5548</v>
      </c>
    </row>
    <row r="346" spans="1:11" x14ac:dyDescent="0.3">
      <c r="A346" s="20" t="s">
        <v>570</v>
      </c>
      <c r="B346" s="14">
        <v>43062</v>
      </c>
      <c r="C346" s="14" t="str">
        <f t="shared" si="5"/>
        <v>Nov</v>
      </c>
      <c r="D346" s="13" t="s">
        <v>44</v>
      </c>
      <c r="E346" s="13" t="s">
        <v>420</v>
      </c>
      <c r="F346" s="13" t="s">
        <v>13</v>
      </c>
      <c r="G346" s="13" t="s">
        <v>571</v>
      </c>
      <c r="H346" s="13">
        <v>74.111999999999995</v>
      </c>
      <c r="I346" s="13">
        <v>8</v>
      </c>
      <c r="J346" s="13">
        <v>0.2</v>
      </c>
      <c r="K346" s="21">
        <v>17.601600000000001</v>
      </c>
    </row>
    <row r="347" spans="1:11" x14ac:dyDescent="0.3">
      <c r="A347" s="20" t="s">
        <v>570</v>
      </c>
      <c r="B347" s="14">
        <v>43062</v>
      </c>
      <c r="C347" s="14" t="str">
        <f t="shared" si="5"/>
        <v>Nov</v>
      </c>
      <c r="D347" s="13" t="s">
        <v>44</v>
      </c>
      <c r="E347" s="13" t="s">
        <v>420</v>
      </c>
      <c r="F347" s="13" t="s">
        <v>13</v>
      </c>
      <c r="G347" s="13" t="s">
        <v>267</v>
      </c>
      <c r="H347" s="13">
        <v>27.992000000000001</v>
      </c>
      <c r="I347" s="13">
        <v>1</v>
      </c>
      <c r="J347" s="13">
        <v>0.2</v>
      </c>
      <c r="K347" s="21">
        <v>2.0994000000000002</v>
      </c>
    </row>
    <row r="348" spans="1:11" x14ac:dyDescent="0.3">
      <c r="A348" s="20" t="s">
        <v>570</v>
      </c>
      <c r="B348" s="14">
        <v>43062</v>
      </c>
      <c r="C348" s="14" t="str">
        <f t="shared" si="5"/>
        <v>Nov</v>
      </c>
      <c r="D348" s="13" t="s">
        <v>44</v>
      </c>
      <c r="E348" s="13" t="s">
        <v>420</v>
      </c>
      <c r="F348" s="13" t="s">
        <v>23</v>
      </c>
      <c r="G348" s="13" t="s">
        <v>572</v>
      </c>
      <c r="H348" s="13">
        <v>3.3039999999999998</v>
      </c>
      <c r="I348" s="13">
        <v>1</v>
      </c>
      <c r="J348" s="13">
        <v>0.2</v>
      </c>
      <c r="K348" s="21">
        <v>1.0738000000000001</v>
      </c>
    </row>
    <row r="349" spans="1:11" x14ac:dyDescent="0.3">
      <c r="A349" s="20" t="s">
        <v>573</v>
      </c>
      <c r="B349" s="14">
        <v>42988</v>
      </c>
      <c r="C349" s="14" t="str">
        <f t="shared" si="5"/>
        <v>Sep</v>
      </c>
      <c r="D349" s="13" t="s">
        <v>21</v>
      </c>
      <c r="E349" s="13" t="s">
        <v>574</v>
      </c>
      <c r="F349" s="13" t="s">
        <v>13</v>
      </c>
      <c r="G349" s="13" t="s">
        <v>165</v>
      </c>
      <c r="H349" s="13">
        <v>147.16800000000001</v>
      </c>
      <c r="I349" s="13">
        <v>4</v>
      </c>
      <c r="J349" s="13">
        <v>0.2</v>
      </c>
      <c r="K349" s="21">
        <v>16.5564</v>
      </c>
    </row>
    <row r="350" spans="1:11" x14ac:dyDescent="0.3">
      <c r="A350" s="20" t="s">
        <v>575</v>
      </c>
      <c r="B350" s="14">
        <v>42910</v>
      </c>
      <c r="C350" s="14" t="str">
        <f t="shared" si="5"/>
        <v>Jun</v>
      </c>
      <c r="D350" s="13" t="s">
        <v>16</v>
      </c>
      <c r="E350" s="13" t="s">
        <v>576</v>
      </c>
      <c r="F350" s="13" t="s">
        <v>23</v>
      </c>
      <c r="G350" s="13" t="s">
        <v>577</v>
      </c>
      <c r="H350" s="13">
        <v>95.92</v>
      </c>
      <c r="I350" s="13">
        <v>8</v>
      </c>
      <c r="J350" s="13">
        <v>0</v>
      </c>
      <c r="K350" s="21">
        <v>25.898399999999999</v>
      </c>
    </row>
    <row r="351" spans="1:11" x14ac:dyDescent="0.3">
      <c r="A351" s="20" t="s">
        <v>578</v>
      </c>
      <c r="B351" s="14">
        <v>43027</v>
      </c>
      <c r="C351" s="14" t="str">
        <f t="shared" si="5"/>
        <v>Oct</v>
      </c>
      <c r="D351" s="13" t="s">
        <v>11</v>
      </c>
      <c r="E351" s="13" t="s">
        <v>579</v>
      </c>
      <c r="F351" s="13" t="s">
        <v>18</v>
      </c>
      <c r="G351" s="13" t="s">
        <v>580</v>
      </c>
      <c r="H351" s="13">
        <v>56.56</v>
      </c>
      <c r="I351" s="13">
        <v>4</v>
      </c>
      <c r="J351" s="13">
        <v>0</v>
      </c>
      <c r="K351" s="21">
        <v>14.7056</v>
      </c>
    </row>
    <row r="352" spans="1:11" x14ac:dyDescent="0.3">
      <c r="A352" s="20" t="s">
        <v>578</v>
      </c>
      <c r="B352" s="14">
        <v>43027</v>
      </c>
      <c r="C352" s="14" t="str">
        <f t="shared" si="5"/>
        <v>Oct</v>
      </c>
      <c r="D352" s="13" t="s">
        <v>11</v>
      </c>
      <c r="E352" s="13" t="s">
        <v>579</v>
      </c>
      <c r="F352" s="13" t="s">
        <v>23</v>
      </c>
      <c r="G352" s="13" t="s">
        <v>581</v>
      </c>
      <c r="H352" s="13">
        <v>32.700000000000003</v>
      </c>
      <c r="I352" s="13">
        <v>3</v>
      </c>
      <c r="J352" s="13">
        <v>0</v>
      </c>
      <c r="K352" s="21">
        <v>8.5020000000000007</v>
      </c>
    </row>
    <row r="353" spans="1:11" x14ac:dyDescent="0.3">
      <c r="A353" s="20" t="s">
        <v>582</v>
      </c>
      <c r="B353" s="14">
        <v>42889</v>
      </c>
      <c r="C353" s="14" t="str">
        <f t="shared" si="5"/>
        <v>Jun</v>
      </c>
      <c r="D353" s="13" t="s">
        <v>44</v>
      </c>
      <c r="E353" s="13" t="s">
        <v>369</v>
      </c>
      <c r="F353" s="13" t="s">
        <v>18</v>
      </c>
      <c r="G353" s="13" t="s">
        <v>583</v>
      </c>
      <c r="H353" s="13">
        <v>35.167999999999999</v>
      </c>
      <c r="I353" s="13">
        <v>7</v>
      </c>
      <c r="J353" s="13">
        <v>0.2</v>
      </c>
      <c r="K353" s="21">
        <v>9.6712000000000007</v>
      </c>
    </row>
    <row r="354" spans="1:11" x14ac:dyDescent="0.3">
      <c r="A354" s="20" t="s">
        <v>584</v>
      </c>
      <c r="B354" s="14">
        <v>42840</v>
      </c>
      <c r="C354" s="14" t="str">
        <f t="shared" si="5"/>
        <v>Apr</v>
      </c>
      <c r="D354" s="13" t="s">
        <v>44</v>
      </c>
      <c r="E354" s="13" t="s">
        <v>585</v>
      </c>
      <c r="F354" s="13" t="s">
        <v>23</v>
      </c>
      <c r="G354" s="13" t="s">
        <v>586</v>
      </c>
      <c r="H354" s="13">
        <v>4.8899999999999997</v>
      </c>
      <c r="I354" s="13">
        <v>1</v>
      </c>
      <c r="J354" s="13">
        <v>0</v>
      </c>
      <c r="K354" s="21">
        <v>2.0049000000000001</v>
      </c>
    </row>
    <row r="355" spans="1:11" x14ac:dyDescent="0.3">
      <c r="A355" s="20" t="s">
        <v>587</v>
      </c>
      <c r="B355" s="14">
        <v>42993</v>
      </c>
      <c r="C355" s="14" t="str">
        <f t="shared" si="5"/>
        <v>Sep</v>
      </c>
      <c r="D355" s="13" t="s">
        <v>21</v>
      </c>
      <c r="E355" s="13" t="s">
        <v>206</v>
      </c>
      <c r="F355" s="13" t="s">
        <v>23</v>
      </c>
      <c r="G355" s="13" t="s">
        <v>588</v>
      </c>
      <c r="H355" s="13">
        <v>31.872</v>
      </c>
      <c r="I355" s="13">
        <v>8</v>
      </c>
      <c r="J355" s="13">
        <v>0.2</v>
      </c>
      <c r="K355" s="21">
        <v>11.553599999999999</v>
      </c>
    </row>
    <row r="356" spans="1:11" x14ac:dyDescent="0.3">
      <c r="A356" s="20" t="s">
        <v>589</v>
      </c>
      <c r="B356" s="14">
        <v>43021</v>
      </c>
      <c r="C356" s="14" t="str">
        <f t="shared" si="5"/>
        <v>Oct</v>
      </c>
      <c r="D356" s="13" t="s">
        <v>11</v>
      </c>
      <c r="E356" s="13" t="s">
        <v>77</v>
      </c>
      <c r="F356" s="13" t="s">
        <v>23</v>
      </c>
      <c r="G356" s="13" t="s">
        <v>590</v>
      </c>
      <c r="H356" s="13">
        <v>11.648</v>
      </c>
      <c r="I356" s="13">
        <v>2</v>
      </c>
      <c r="J356" s="13">
        <v>0.2</v>
      </c>
      <c r="K356" s="21">
        <v>4.0768000000000004</v>
      </c>
    </row>
    <row r="357" spans="1:11" x14ac:dyDescent="0.3">
      <c r="A357" s="20" t="s">
        <v>589</v>
      </c>
      <c r="B357" s="14">
        <v>43021</v>
      </c>
      <c r="C357" s="14" t="str">
        <f t="shared" si="5"/>
        <v>Oct</v>
      </c>
      <c r="D357" s="13" t="s">
        <v>11</v>
      </c>
      <c r="E357" s="13" t="s">
        <v>77</v>
      </c>
      <c r="F357" s="13" t="s">
        <v>23</v>
      </c>
      <c r="G357" s="13" t="s">
        <v>591</v>
      </c>
      <c r="H357" s="13">
        <v>18.175999999999998</v>
      </c>
      <c r="I357" s="13">
        <v>4</v>
      </c>
      <c r="J357" s="13">
        <v>0.2</v>
      </c>
      <c r="K357" s="21">
        <v>5.9071999999999996</v>
      </c>
    </row>
    <row r="358" spans="1:11" x14ac:dyDescent="0.3">
      <c r="A358" s="20" t="s">
        <v>589</v>
      </c>
      <c r="B358" s="14">
        <v>43021</v>
      </c>
      <c r="C358" s="14" t="str">
        <f t="shared" si="5"/>
        <v>Oct</v>
      </c>
      <c r="D358" s="13" t="s">
        <v>11</v>
      </c>
      <c r="E358" s="13" t="s">
        <v>77</v>
      </c>
      <c r="F358" s="13" t="s">
        <v>23</v>
      </c>
      <c r="G358" s="13" t="s">
        <v>592</v>
      </c>
      <c r="H358" s="13">
        <v>59.712000000000003</v>
      </c>
      <c r="I358" s="13">
        <v>6</v>
      </c>
      <c r="J358" s="13">
        <v>0.2</v>
      </c>
      <c r="K358" s="21">
        <v>5.9711999999999996</v>
      </c>
    </row>
    <row r="359" spans="1:11" x14ac:dyDescent="0.3">
      <c r="A359" s="20" t="s">
        <v>589</v>
      </c>
      <c r="B359" s="14">
        <v>43021</v>
      </c>
      <c r="C359" s="14" t="str">
        <f t="shared" si="5"/>
        <v>Oct</v>
      </c>
      <c r="D359" s="13" t="s">
        <v>11</v>
      </c>
      <c r="E359" s="13" t="s">
        <v>77</v>
      </c>
      <c r="F359" s="13" t="s">
        <v>23</v>
      </c>
      <c r="G359" s="13" t="s">
        <v>593</v>
      </c>
      <c r="H359" s="13">
        <v>24.84</v>
      </c>
      <c r="I359" s="13">
        <v>3</v>
      </c>
      <c r="J359" s="13">
        <v>0.2</v>
      </c>
      <c r="K359" s="21">
        <v>8.6940000000000008</v>
      </c>
    </row>
    <row r="360" spans="1:11" x14ac:dyDescent="0.3">
      <c r="A360" s="20" t="s">
        <v>594</v>
      </c>
      <c r="B360" s="14">
        <v>42924</v>
      </c>
      <c r="C360" s="14" t="str">
        <f t="shared" si="5"/>
        <v>Jul</v>
      </c>
      <c r="D360" s="13" t="s">
        <v>11</v>
      </c>
      <c r="E360" s="13" t="s">
        <v>406</v>
      </c>
      <c r="F360" s="13" t="s">
        <v>23</v>
      </c>
      <c r="G360" s="13" t="s">
        <v>129</v>
      </c>
      <c r="H360" s="13">
        <v>7.56</v>
      </c>
      <c r="I360" s="13">
        <v>3</v>
      </c>
      <c r="J360" s="13">
        <v>0</v>
      </c>
      <c r="K360" s="21">
        <v>3.0996000000000001</v>
      </c>
    </row>
    <row r="361" spans="1:11" x14ac:dyDescent="0.3">
      <c r="A361" s="20" t="s">
        <v>594</v>
      </c>
      <c r="B361" s="14">
        <v>42924</v>
      </c>
      <c r="C361" s="14" t="str">
        <f t="shared" si="5"/>
        <v>Jul</v>
      </c>
      <c r="D361" s="13" t="s">
        <v>11</v>
      </c>
      <c r="E361" s="13" t="s">
        <v>406</v>
      </c>
      <c r="F361" s="13" t="s">
        <v>23</v>
      </c>
      <c r="G361" s="13" t="s">
        <v>239</v>
      </c>
      <c r="H361" s="13">
        <v>24.56</v>
      </c>
      <c r="I361" s="13">
        <v>2</v>
      </c>
      <c r="J361" s="13">
        <v>0</v>
      </c>
      <c r="K361" s="21">
        <v>11.543200000000001</v>
      </c>
    </row>
    <row r="362" spans="1:11" x14ac:dyDescent="0.3">
      <c r="A362" s="20" t="s">
        <v>594</v>
      </c>
      <c r="B362" s="14">
        <v>42924</v>
      </c>
      <c r="C362" s="14" t="str">
        <f t="shared" si="5"/>
        <v>Jul</v>
      </c>
      <c r="D362" s="13" t="s">
        <v>11</v>
      </c>
      <c r="E362" s="13" t="s">
        <v>406</v>
      </c>
      <c r="F362" s="13" t="s">
        <v>23</v>
      </c>
      <c r="G362" s="13" t="s">
        <v>595</v>
      </c>
      <c r="H362" s="13">
        <v>12.96</v>
      </c>
      <c r="I362" s="13">
        <v>2</v>
      </c>
      <c r="J362" s="13">
        <v>0</v>
      </c>
      <c r="K362" s="21">
        <v>4.1471999999999998</v>
      </c>
    </row>
    <row r="363" spans="1:11" x14ac:dyDescent="0.3">
      <c r="A363" s="20" t="s">
        <v>596</v>
      </c>
      <c r="B363" s="14">
        <v>43070</v>
      </c>
      <c r="C363" s="14" t="str">
        <f t="shared" si="5"/>
        <v>Dec</v>
      </c>
      <c r="D363" s="13" t="s">
        <v>21</v>
      </c>
      <c r="E363" s="13" t="s">
        <v>597</v>
      </c>
      <c r="F363" s="13" t="s">
        <v>23</v>
      </c>
      <c r="G363" s="13" t="s">
        <v>598</v>
      </c>
      <c r="H363" s="13">
        <v>83.92</v>
      </c>
      <c r="I363" s="13">
        <v>4</v>
      </c>
      <c r="J363" s="13">
        <v>0</v>
      </c>
      <c r="K363" s="21">
        <v>5.8743999999999996</v>
      </c>
    </row>
    <row r="364" spans="1:11" x14ac:dyDescent="0.3">
      <c r="A364" s="20" t="s">
        <v>596</v>
      </c>
      <c r="B364" s="14">
        <v>43070</v>
      </c>
      <c r="C364" s="14" t="str">
        <f t="shared" si="5"/>
        <v>Dec</v>
      </c>
      <c r="D364" s="13" t="s">
        <v>21</v>
      </c>
      <c r="E364" s="13" t="s">
        <v>597</v>
      </c>
      <c r="F364" s="13" t="s">
        <v>13</v>
      </c>
      <c r="G364" s="13" t="s">
        <v>599</v>
      </c>
      <c r="H364" s="13">
        <v>131.97999999999999</v>
      </c>
      <c r="I364" s="13">
        <v>2</v>
      </c>
      <c r="J364" s="13">
        <v>0</v>
      </c>
      <c r="K364" s="21">
        <v>35.634599999999999</v>
      </c>
    </row>
    <row r="365" spans="1:11" x14ac:dyDescent="0.3">
      <c r="A365" s="20" t="s">
        <v>596</v>
      </c>
      <c r="B365" s="14">
        <v>43070</v>
      </c>
      <c r="C365" s="14" t="str">
        <f t="shared" si="5"/>
        <v>Dec</v>
      </c>
      <c r="D365" s="13" t="s">
        <v>21</v>
      </c>
      <c r="E365" s="13" t="s">
        <v>597</v>
      </c>
      <c r="F365" s="13" t="s">
        <v>23</v>
      </c>
      <c r="G365" s="13" t="s">
        <v>600</v>
      </c>
      <c r="H365" s="13">
        <v>15.92</v>
      </c>
      <c r="I365" s="13">
        <v>4</v>
      </c>
      <c r="J365" s="13">
        <v>0</v>
      </c>
      <c r="K365" s="21">
        <v>7.4824000000000002</v>
      </c>
    </row>
    <row r="366" spans="1:11" x14ac:dyDescent="0.3">
      <c r="A366" s="20" t="s">
        <v>596</v>
      </c>
      <c r="B366" s="14">
        <v>43070</v>
      </c>
      <c r="C366" s="14" t="str">
        <f t="shared" si="5"/>
        <v>Dec</v>
      </c>
      <c r="D366" s="13" t="s">
        <v>21</v>
      </c>
      <c r="E366" s="13" t="s">
        <v>597</v>
      </c>
      <c r="F366" s="13" t="s">
        <v>23</v>
      </c>
      <c r="G366" s="13" t="s">
        <v>601</v>
      </c>
      <c r="H366" s="13">
        <v>52.29</v>
      </c>
      <c r="I366" s="13">
        <v>9</v>
      </c>
      <c r="J366" s="13">
        <v>0</v>
      </c>
      <c r="K366" s="21">
        <v>16.209900000000001</v>
      </c>
    </row>
    <row r="367" spans="1:11" x14ac:dyDescent="0.3">
      <c r="A367" s="20" t="s">
        <v>596</v>
      </c>
      <c r="B367" s="14">
        <v>43070</v>
      </c>
      <c r="C367" s="14" t="str">
        <f t="shared" si="5"/>
        <v>Dec</v>
      </c>
      <c r="D367" s="13" t="s">
        <v>21</v>
      </c>
      <c r="E367" s="13" t="s">
        <v>597</v>
      </c>
      <c r="F367" s="13" t="s">
        <v>23</v>
      </c>
      <c r="G367" s="13" t="s">
        <v>602</v>
      </c>
      <c r="H367" s="13">
        <v>91.99</v>
      </c>
      <c r="I367" s="13">
        <v>1</v>
      </c>
      <c r="J367" s="13">
        <v>0</v>
      </c>
      <c r="K367" s="21">
        <v>3.6796000000000002</v>
      </c>
    </row>
    <row r="368" spans="1:11" x14ac:dyDescent="0.3">
      <c r="A368" s="20" t="s">
        <v>603</v>
      </c>
      <c r="B368" s="14">
        <v>42902</v>
      </c>
      <c r="C368" s="14" t="str">
        <f t="shared" si="5"/>
        <v>Jun</v>
      </c>
      <c r="D368" s="13" t="s">
        <v>44</v>
      </c>
      <c r="E368" s="13" t="s">
        <v>604</v>
      </c>
      <c r="F368" s="13" t="s">
        <v>23</v>
      </c>
      <c r="G368" s="13" t="s">
        <v>605</v>
      </c>
      <c r="H368" s="13">
        <v>14.016</v>
      </c>
      <c r="I368" s="13">
        <v>3</v>
      </c>
      <c r="J368" s="13">
        <v>0.2</v>
      </c>
      <c r="K368" s="21">
        <v>4.7304000000000004</v>
      </c>
    </row>
    <row r="369" spans="1:11" x14ac:dyDescent="0.3">
      <c r="A369" s="20" t="s">
        <v>606</v>
      </c>
      <c r="B369" s="14">
        <v>42997</v>
      </c>
      <c r="C369" s="14" t="str">
        <f t="shared" si="5"/>
        <v>Sep</v>
      </c>
      <c r="D369" s="13" t="s">
        <v>44</v>
      </c>
      <c r="E369" s="13" t="s">
        <v>607</v>
      </c>
      <c r="F369" s="13" t="s">
        <v>23</v>
      </c>
      <c r="G369" s="13" t="s">
        <v>608</v>
      </c>
      <c r="H369" s="13">
        <v>95.616</v>
      </c>
      <c r="I369" s="13">
        <v>2</v>
      </c>
      <c r="J369" s="13">
        <v>0.2</v>
      </c>
      <c r="K369" s="21">
        <v>9.5616000000000003</v>
      </c>
    </row>
    <row r="370" spans="1:11" x14ac:dyDescent="0.3">
      <c r="A370" s="20" t="s">
        <v>609</v>
      </c>
      <c r="B370" s="14">
        <v>42883</v>
      </c>
      <c r="C370" s="14" t="str">
        <f t="shared" si="5"/>
        <v>May</v>
      </c>
      <c r="D370" s="13" t="s">
        <v>44</v>
      </c>
      <c r="E370" s="13" t="s">
        <v>610</v>
      </c>
      <c r="F370" s="13" t="s">
        <v>18</v>
      </c>
      <c r="G370" s="13" t="s">
        <v>611</v>
      </c>
      <c r="H370" s="13">
        <v>301.95999999999998</v>
      </c>
      <c r="I370" s="13">
        <v>2</v>
      </c>
      <c r="J370" s="13">
        <v>0</v>
      </c>
      <c r="K370" s="21">
        <v>33.215600000000002</v>
      </c>
    </row>
    <row r="371" spans="1:11" x14ac:dyDescent="0.3">
      <c r="A371" s="20" t="s">
        <v>612</v>
      </c>
      <c r="B371" s="14">
        <v>42896</v>
      </c>
      <c r="C371" s="14" t="str">
        <f t="shared" si="5"/>
        <v>Jun</v>
      </c>
      <c r="D371" s="13" t="s">
        <v>16</v>
      </c>
      <c r="E371" s="13" t="s">
        <v>58</v>
      </c>
      <c r="F371" s="13" t="s">
        <v>23</v>
      </c>
      <c r="G371" s="13" t="s">
        <v>613</v>
      </c>
      <c r="H371" s="13">
        <v>29.6</v>
      </c>
      <c r="I371" s="13">
        <v>2</v>
      </c>
      <c r="J371" s="13">
        <v>0</v>
      </c>
      <c r="K371" s="21">
        <v>14.8</v>
      </c>
    </row>
    <row r="372" spans="1:11" x14ac:dyDescent="0.3">
      <c r="A372" s="20" t="s">
        <v>612</v>
      </c>
      <c r="B372" s="14">
        <v>42896</v>
      </c>
      <c r="C372" s="14" t="str">
        <f t="shared" si="5"/>
        <v>Jun</v>
      </c>
      <c r="D372" s="13" t="s">
        <v>16</v>
      </c>
      <c r="E372" s="13" t="s">
        <v>58</v>
      </c>
      <c r="F372" s="13" t="s">
        <v>18</v>
      </c>
      <c r="G372" s="13" t="s">
        <v>614</v>
      </c>
      <c r="H372" s="13">
        <v>514.16499999999996</v>
      </c>
      <c r="I372" s="13">
        <v>5</v>
      </c>
      <c r="J372" s="13">
        <v>0.15</v>
      </c>
      <c r="K372" s="21">
        <v>-30.245000000000001</v>
      </c>
    </row>
    <row r="373" spans="1:11" x14ac:dyDescent="0.3">
      <c r="A373" s="20" t="s">
        <v>612</v>
      </c>
      <c r="B373" s="14">
        <v>42896</v>
      </c>
      <c r="C373" s="14" t="str">
        <f t="shared" si="5"/>
        <v>Jun</v>
      </c>
      <c r="D373" s="13" t="s">
        <v>16</v>
      </c>
      <c r="E373" s="13" t="s">
        <v>58</v>
      </c>
      <c r="F373" s="13" t="s">
        <v>13</v>
      </c>
      <c r="G373" s="13" t="s">
        <v>615</v>
      </c>
      <c r="H373" s="13">
        <v>279.95999999999998</v>
      </c>
      <c r="I373" s="13">
        <v>5</v>
      </c>
      <c r="J373" s="13">
        <v>0.2</v>
      </c>
      <c r="K373" s="21">
        <v>17.497499999999999</v>
      </c>
    </row>
    <row r="374" spans="1:11" x14ac:dyDescent="0.3">
      <c r="A374" s="20" t="s">
        <v>616</v>
      </c>
      <c r="B374" s="14">
        <v>43042</v>
      </c>
      <c r="C374" s="14" t="str">
        <f t="shared" si="5"/>
        <v>Nov</v>
      </c>
      <c r="D374" s="13" t="s">
        <v>16</v>
      </c>
      <c r="E374" s="13" t="s">
        <v>17</v>
      </c>
      <c r="F374" s="13" t="s">
        <v>23</v>
      </c>
      <c r="G374" s="13" t="s">
        <v>617</v>
      </c>
      <c r="H374" s="13">
        <v>139.86000000000001</v>
      </c>
      <c r="I374" s="13">
        <v>7</v>
      </c>
      <c r="J374" s="13">
        <v>0</v>
      </c>
      <c r="K374" s="21">
        <v>65.734200000000001</v>
      </c>
    </row>
    <row r="375" spans="1:11" x14ac:dyDescent="0.3">
      <c r="A375" s="20" t="s">
        <v>616</v>
      </c>
      <c r="B375" s="14">
        <v>43042</v>
      </c>
      <c r="C375" s="14" t="str">
        <f t="shared" si="5"/>
        <v>Nov</v>
      </c>
      <c r="D375" s="13" t="s">
        <v>16</v>
      </c>
      <c r="E375" s="13" t="s">
        <v>17</v>
      </c>
      <c r="F375" s="13" t="s">
        <v>18</v>
      </c>
      <c r="G375" s="13" t="s">
        <v>39</v>
      </c>
      <c r="H375" s="13">
        <v>307.13600000000002</v>
      </c>
      <c r="I375" s="13">
        <v>4</v>
      </c>
      <c r="J375" s="13">
        <v>0.2</v>
      </c>
      <c r="K375" s="21">
        <v>26.874400000000001</v>
      </c>
    </row>
    <row r="376" spans="1:11" x14ac:dyDescent="0.3">
      <c r="A376" s="20" t="s">
        <v>618</v>
      </c>
      <c r="B376" s="14">
        <v>43003</v>
      </c>
      <c r="C376" s="14" t="str">
        <f t="shared" si="5"/>
        <v>Sep</v>
      </c>
      <c r="D376" s="13" t="s">
        <v>11</v>
      </c>
      <c r="E376" s="13" t="s">
        <v>88</v>
      </c>
      <c r="F376" s="13" t="s">
        <v>23</v>
      </c>
      <c r="G376" s="13" t="s">
        <v>619</v>
      </c>
      <c r="H376" s="13">
        <v>20.7</v>
      </c>
      <c r="I376" s="13">
        <v>2</v>
      </c>
      <c r="J376" s="13">
        <v>0</v>
      </c>
      <c r="K376" s="21">
        <v>9.9359999999999999</v>
      </c>
    </row>
    <row r="377" spans="1:11" x14ac:dyDescent="0.3">
      <c r="A377" s="20" t="s">
        <v>618</v>
      </c>
      <c r="B377" s="14">
        <v>43003</v>
      </c>
      <c r="C377" s="14" t="str">
        <f t="shared" si="5"/>
        <v>Sep</v>
      </c>
      <c r="D377" s="13" t="s">
        <v>11</v>
      </c>
      <c r="E377" s="13" t="s">
        <v>88</v>
      </c>
      <c r="F377" s="13" t="s">
        <v>18</v>
      </c>
      <c r="G377" s="13" t="s">
        <v>620</v>
      </c>
      <c r="H377" s="13">
        <v>488.64600000000002</v>
      </c>
      <c r="I377" s="13">
        <v>3</v>
      </c>
      <c r="J377" s="13">
        <v>0.1</v>
      </c>
      <c r="K377" s="21">
        <v>86.870400000000004</v>
      </c>
    </row>
    <row r="378" spans="1:11" x14ac:dyDescent="0.3">
      <c r="A378" s="20" t="s">
        <v>618</v>
      </c>
      <c r="B378" s="14">
        <v>43003</v>
      </c>
      <c r="C378" s="14" t="str">
        <f t="shared" si="5"/>
        <v>Sep</v>
      </c>
      <c r="D378" s="13" t="s">
        <v>11</v>
      </c>
      <c r="E378" s="13" t="s">
        <v>88</v>
      </c>
      <c r="F378" s="13" t="s">
        <v>23</v>
      </c>
      <c r="G378" s="13" t="s">
        <v>621</v>
      </c>
      <c r="H378" s="13">
        <v>5.56</v>
      </c>
      <c r="I378" s="13">
        <v>2</v>
      </c>
      <c r="J378" s="13">
        <v>0</v>
      </c>
      <c r="K378" s="21">
        <v>1.4456</v>
      </c>
    </row>
    <row r="379" spans="1:11" x14ac:dyDescent="0.3">
      <c r="A379" s="20" t="s">
        <v>618</v>
      </c>
      <c r="B379" s="14">
        <v>43003</v>
      </c>
      <c r="C379" s="14" t="str">
        <f t="shared" si="5"/>
        <v>Sep</v>
      </c>
      <c r="D379" s="13" t="s">
        <v>11</v>
      </c>
      <c r="E379" s="13" t="s">
        <v>88</v>
      </c>
      <c r="F379" s="13" t="s">
        <v>18</v>
      </c>
      <c r="G379" s="13" t="s">
        <v>333</v>
      </c>
      <c r="H379" s="13">
        <v>47.12</v>
      </c>
      <c r="I379" s="13">
        <v>8</v>
      </c>
      <c r="J379" s="13">
        <v>0</v>
      </c>
      <c r="K379" s="21">
        <v>20.732800000000001</v>
      </c>
    </row>
    <row r="380" spans="1:11" x14ac:dyDescent="0.3">
      <c r="A380" s="20" t="s">
        <v>622</v>
      </c>
      <c r="B380" s="14">
        <v>43094</v>
      </c>
      <c r="C380" s="14" t="str">
        <f t="shared" si="5"/>
        <v>Dec</v>
      </c>
      <c r="D380" s="13" t="s">
        <v>11</v>
      </c>
      <c r="E380" s="13" t="s">
        <v>88</v>
      </c>
      <c r="F380" s="13" t="s">
        <v>18</v>
      </c>
      <c r="G380" s="13" t="s">
        <v>623</v>
      </c>
      <c r="H380" s="13">
        <v>41.96</v>
      </c>
      <c r="I380" s="13">
        <v>2</v>
      </c>
      <c r="J380" s="13">
        <v>0</v>
      </c>
      <c r="K380" s="21">
        <v>10.909599999999999</v>
      </c>
    </row>
    <row r="381" spans="1:11" x14ac:dyDescent="0.3">
      <c r="A381" s="20" t="s">
        <v>624</v>
      </c>
      <c r="B381" s="14">
        <v>43028</v>
      </c>
      <c r="C381" s="14" t="str">
        <f t="shared" si="5"/>
        <v>Oct</v>
      </c>
      <c r="D381" s="13" t="s">
        <v>11</v>
      </c>
      <c r="E381" s="13" t="s">
        <v>536</v>
      </c>
      <c r="F381" s="13" t="s">
        <v>18</v>
      </c>
      <c r="G381" s="13" t="s">
        <v>64</v>
      </c>
      <c r="H381" s="13">
        <v>284.36399999999998</v>
      </c>
      <c r="I381" s="13">
        <v>2</v>
      </c>
      <c r="J381" s="13">
        <v>0.4</v>
      </c>
      <c r="K381" s="21">
        <v>-75.830399999999997</v>
      </c>
    </row>
    <row r="382" spans="1:11" x14ac:dyDescent="0.3">
      <c r="A382" s="20" t="s">
        <v>624</v>
      </c>
      <c r="B382" s="14">
        <v>43028</v>
      </c>
      <c r="C382" s="14" t="str">
        <f t="shared" si="5"/>
        <v>Oct</v>
      </c>
      <c r="D382" s="13" t="s">
        <v>11</v>
      </c>
      <c r="E382" s="13" t="s">
        <v>536</v>
      </c>
      <c r="F382" s="13" t="s">
        <v>23</v>
      </c>
      <c r="G382" s="13" t="s">
        <v>625</v>
      </c>
      <c r="H382" s="13">
        <v>665.40800000000002</v>
      </c>
      <c r="I382" s="13">
        <v>2</v>
      </c>
      <c r="J382" s="13">
        <v>0.2</v>
      </c>
      <c r="K382" s="21">
        <v>66.540800000000004</v>
      </c>
    </row>
    <row r="383" spans="1:11" x14ac:dyDescent="0.3">
      <c r="A383" s="20" t="s">
        <v>626</v>
      </c>
      <c r="B383" s="14">
        <v>43062</v>
      </c>
      <c r="C383" s="14" t="str">
        <f t="shared" si="5"/>
        <v>Nov</v>
      </c>
      <c r="D383" s="13" t="s">
        <v>21</v>
      </c>
      <c r="E383" s="13" t="s">
        <v>627</v>
      </c>
      <c r="F383" s="13" t="s">
        <v>18</v>
      </c>
      <c r="G383" s="13" t="s">
        <v>628</v>
      </c>
      <c r="H383" s="13">
        <v>28.4</v>
      </c>
      <c r="I383" s="13">
        <v>2</v>
      </c>
      <c r="J383" s="13">
        <v>0</v>
      </c>
      <c r="K383" s="21">
        <v>11.076000000000001</v>
      </c>
    </row>
    <row r="384" spans="1:11" x14ac:dyDescent="0.3">
      <c r="A384" s="20" t="s">
        <v>626</v>
      </c>
      <c r="B384" s="14">
        <v>43062</v>
      </c>
      <c r="C384" s="14" t="str">
        <f t="shared" si="5"/>
        <v>Nov</v>
      </c>
      <c r="D384" s="13" t="s">
        <v>21</v>
      </c>
      <c r="E384" s="13" t="s">
        <v>627</v>
      </c>
      <c r="F384" s="13" t="s">
        <v>23</v>
      </c>
      <c r="G384" s="13" t="s">
        <v>629</v>
      </c>
      <c r="H384" s="13">
        <v>287.92</v>
      </c>
      <c r="I384" s="13">
        <v>8</v>
      </c>
      <c r="J384" s="13">
        <v>0</v>
      </c>
      <c r="K384" s="21">
        <v>138.20160000000001</v>
      </c>
    </row>
    <row r="385" spans="1:11" x14ac:dyDescent="0.3">
      <c r="A385" s="20" t="s">
        <v>630</v>
      </c>
      <c r="B385" s="14">
        <v>43009</v>
      </c>
      <c r="C385" s="14" t="str">
        <f t="shared" si="5"/>
        <v>Oct</v>
      </c>
      <c r="D385" s="13" t="s">
        <v>21</v>
      </c>
      <c r="E385" s="13" t="s">
        <v>118</v>
      </c>
      <c r="F385" s="13" t="s">
        <v>23</v>
      </c>
      <c r="G385" s="13" t="s">
        <v>631</v>
      </c>
      <c r="H385" s="13">
        <v>6.6719999999999997</v>
      </c>
      <c r="I385" s="13">
        <v>6</v>
      </c>
      <c r="J385" s="13">
        <v>0.2</v>
      </c>
      <c r="K385" s="21">
        <v>0.50039999999999996</v>
      </c>
    </row>
    <row r="386" spans="1:11" x14ac:dyDescent="0.3">
      <c r="A386" s="20" t="s">
        <v>632</v>
      </c>
      <c r="B386" s="14">
        <v>43042</v>
      </c>
      <c r="C386" s="14" t="str">
        <f t="shared" si="5"/>
        <v>Nov</v>
      </c>
      <c r="D386" s="13" t="s">
        <v>44</v>
      </c>
      <c r="E386" s="13" t="s">
        <v>633</v>
      </c>
      <c r="F386" s="13" t="s">
        <v>18</v>
      </c>
      <c r="G386" s="13" t="s">
        <v>634</v>
      </c>
      <c r="H386" s="13">
        <v>15.992000000000001</v>
      </c>
      <c r="I386" s="13">
        <v>1</v>
      </c>
      <c r="J386" s="13">
        <v>0.2</v>
      </c>
      <c r="K386" s="21">
        <v>0.99950000000000006</v>
      </c>
    </row>
    <row r="387" spans="1:11" x14ac:dyDescent="0.3">
      <c r="A387" s="20" t="s">
        <v>635</v>
      </c>
      <c r="B387" s="14">
        <v>42814</v>
      </c>
      <c r="C387" s="14" t="str">
        <f t="shared" ref="C387:C450" si="6">TEXT(B387,"MMM")</f>
        <v>Mar</v>
      </c>
      <c r="D387" s="13" t="s">
        <v>21</v>
      </c>
      <c r="E387" s="13" t="s">
        <v>52</v>
      </c>
      <c r="F387" s="13" t="s">
        <v>18</v>
      </c>
      <c r="G387" s="13" t="s">
        <v>636</v>
      </c>
      <c r="H387" s="13">
        <v>2.91</v>
      </c>
      <c r="I387" s="13">
        <v>1</v>
      </c>
      <c r="J387" s="13">
        <v>0</v>
      </c>
      <c r="K387" s="21">
        <v>1.3676999999999999</v>
      </c>
    </row>
    <row r="388" spans="1:11" x14ac:dyDescent="0.3">
      <c r="A388" s="20" t="s">
        <v>637</v>
      </c>
      <c r="B388" s="14">
        <v>43045</v>
      </c>
      <c r="C388" s="14" t="str">
        <f t="shared" si="6"/>
        <v>Nov</v>
      </c>
      <c r="D388" s="13" t="s">
        <v>44</v>
      </c>
      <c r="E388" s="13" t="s">
        <v>638</v>
      </c>
      <c r="F388" s="13" t="s">
        <v>23</v>
      </c>
      <c r="G388" s="13" t="s">
        <v>639</v>
      </c>
      <c r="H388" s="13">
        <v>5.78</v>
      </c>
      <c r="I388" s="13">
        <v>1</v>
      </c>
      <c r="J388" s="13">
        <v>0</v>
      </c>
      <c r="K388" s="21">
        <v>2.8321999999999998</v>
      </c>
    </row>
    <row r="389" spans="1:11" x14ac:dyDescent="0.3">
      <c r="A389" s="20" t="s">
        <v>640</v>
      </c>
      <c r="B389" s="14">
        <v>42825</v>
      </c>
      <c r="C389" s="14" t="str">
        <f t="shared" si="6"/>
        <v>Mar</v>
      </c>
      <c r="D389" s="13" t="s">
        <v>21</v>
      </c>
      <c r="E389" s="13" t="s">
        <v>641</v>
      </c>
      <c r="F389" s="13" t="s">
        <v>18</v>
      </c>
      <c r="G389" s="13" t="s">
        <v>642</v>
      </c>
      <c r="H389" s="13">
        <v>205.33279999999999</v>
      </c>
      <c r="I389" s="13">
        <v>2</v>
      </c>
      <c r="J389" s="13">
        <v>0.32</v>
      </c>
      <c r="K389" s="21">
        <v>-36.235199999999999</v>
      </c>
    </row>
    <row r="390" spans="1:11" x14ac:dyDescent="0.3">
      <c r="A390" s="20" t="s">
        <v>643</v>
      </c>
      <c r="B390" s="14">
        <v>43091</v>
      </c>
      <c r="C390" s="14" t="str">
        <f t="shared" si="6"/>
        <v>Dec</v>
      </c>
      <c r="D390" s="13" t="s">
        <v>21</v>
      </c>
      <c r="E390" s="13" t="s">
        <v>644</v>
      </c>
      <c r="F390" s="13" t="s">
        <v>23</v>
      </c>
      <c r="G390" s="13" t="s">
        <v>645</v>
      </c>
      <c r="H390" s="13">
        <v>839.43</v>
      </c>
      <c r="I390" s="13">
        <v>3</v>
      </c>
      <c r="J390" s="13">
        <v>0</v>
      </c>
      <c r="K390" s="21">
        <v>218.2518</v>
      </c>
    </row>
    <row r="391" spans="1:11" x14ac:dyDescent="0.3">
      <c r="A391" s="20" t="s">
        <v>646</v>
      </c>
      <c r="B391" s="14">
        <v>43034</v>
      </c>
      <c r="C391" s="14" t="str">
        <f t="shared" si="6"/>
        <v>Oct</v>
      </c>
      <c r="D391" s="13" t="s">
        <v>21</v>
      </c>
      <c r="E391" s="13" t="s">
        <v>48</v>
      </c>
      <c r="F391" s="13" t="s">
        <v>13</v>
      </c>
      <c r="G391" s="13" t="s">
        <v>527</v>
      </c>
      <c r="H391" s="13">
        <v>19.989999999999998</v>
      </c>
      <c r="I391" s="13">
        <v>1</v>
      </c>
      <c r="J391" s="13">
        <v>0</v>
      </c>
      <c r="K391" s="21">
        <v>6.7965999999999998</v>
      </c>
    </row>
    <row r="392" spans="1:11" x14ac:dyDescent="0.3">
      <c r="A392" s="20" t="s">
        <v>646</v>
      </c>
      <c r="B392" s="14">
        <v>43034</v>
      </c>
      <c r="C392" s="14" t="str">
        <f t="shared" si="6"/>
        <v>Oct</v>
      </c>
      <c r="D392" s="13" t="s">
        <v>21</v>
      </c>
      <c r="E392" s="13" t="s">
        <v>48</v>
      </c>
      <c r="F392" s="13" t="s">
        <v>23</v>
      </c>
      <c r="G392" s="13" t="s">
        <v>647</v>
      </c>
      <c r="H392" s="13">
        <v>6.16</v>
      </c>
      <c r="I392" s="13">
        <v>2</v>
      </c>
      <c r="J392" s="13">
        <v>0</v>
      </c>
      <c r="K392" s="21">
        <v>2.9567999999999999</v>
      </c>
    </row>
    <row r="393" spans="1:11" x14ac:dyDescent="0.3">
      <c r="A393" s="20" t="s">
        <v>648</v>
      </c>
      <c r="B393" s="14">
        <v>42802</v>
      </c>
      <c r="C393" s="14" t="str">
        <f t="shared" si="6"/>
        <v>Mar</v>
      </c>
      <c r="D393" s="13" t="s">
        <v>44</v>
      </c>
      <c r="E393" s="13" t="s">
        <v>52</v>
      </c>
      <c r="F393" s="13" t="s">
        <v>23</v>
      </c>
      <c r="G393" s="13" t="s">
        <v>649</v>
      </c>
      <c r="H393" s="13">
        <v>647.84</v>
      </c>
      <c r="I393" s="13">
        <v>8</v>
      </c>
      <c r="J393" s="13">
        <v>0</v>
      </c>
      <c r="K393" s="21">
        <v>168.4384</v>
      </c>
    </row>
    <row r="394" spans="1:11" x14ac:dyDescent="0.3">
      <c r="A394" s="20" t="s">
        <v>648</v>
      </c>
      <c r="B394" s="14">
        <v>42802</v>
      </c>
      <c r="C394" s="14" t="str">
        <f t="shared" si="6"/>
        <v>Mar</v>
      </c>
      <c r="D394" s="13" t="s">
        <v>44</v>
      </c>
      <c r="E394" s="13" t="s">
        <v>52</v>
      </c>
      <c r="F394" s="13" t="s">
        <v>23</v>
      </c>
      <c r="G394" s="13" t="s">
        <v>619</v>
      </c>
      <c r="H394" s="13">
        <v>20.7</v>
      </c>
      <c r="I394" s="13">
        <v>2</v>
      </c>
      <c r="J394" s="13">
        <v>0</v>
      </c>
      <c r="K394" s="21">
        <v>9.9359999999999999</v>
      </c>
    </row>
    <row r="395" spans="1:11" x14ac:dyDescent="0.3">
      <c r="A395" s="20" t="s">
        <v>650</v>
      </c>
      <c r="B395" s="14">
        <v>42968</v>
      </c>
      <c r="C395" s="14" t="str">
        <f t="shared" si="6"/>
        <v>Aug</v>
      </c>
      <c r="D395" s="13" t="s">
        <v>44</v>
      </c>
      <c r="E395" s="13" t="s">
        <v>215</v>
      </c>
      <c r="F395" s="13" t="s">
        <v>18</v>
      </c>
      <c r="G395" s="13" t="s">
        <v>651</v>
      </c>
      <c r="H395" s="13">
        <v>866.4</v>
      </c>
      <c r="I395" s="13">
        <v>4</v>
      </c>
      <c r="J395" s="13">
        <v>0</v>
      </c>
      <c r="K395" s="21">
        <v>225.26400000000001</v>
      </c>
    </row>
    <row r="396" spans="1:11" x14ac:dyDescent="0.3">
      <c r="A396" s="20" t="s">
        <v>652</v>
      </c>
      <c r="B396" s="14">
        <v>42755</v>
      </c>
      <c r="C396" s="14" t="str">
        <f t="shared" si="6"/>
        <v>Jan</v>
      </c>
      <c r="D396" s="13" t="s">
        <v>11</v>
      </c>
      <c r="E396" s="13" t="s">
        <v>88</v>
      </c>
      <c r="F396" s="13" t="s">
        <v>18</v>
      </c>
      <c r="G396" s="13" t="s">
        <v>653</v>
      </c>
      <c r="H396" s="13">
        <v>207.846</v>
      </c>
      <c r="I396" s="13">
        <v>3</v>
      </c>
      <c r="J396" s="13">
        <v>0.1</v>
      </c>
      <c r="K396" s="21">
        <v>2.3094000000000001</v>
      </c>
    </row>
    <row r="397" spans="1:11" x14ac:dyDescent="0.3">
      <c r="A397" s="20" t="s">
        <v>654</v>
      </c>
      <c r="B397" s="14">
        <v>42903</v>
      </c>
      <c r="C397" s="14" t="str">
        <f t="shared" si="6"/>
        <v>Jun</v>
      </c>
      <c r="D397" s="13" t="s">
        <v>16</v>
      </c>
      <c r="E397" s="13" t="s">
        <v>85</v>
      </c>
      <c r="F397" s="13" t="s">
        <v>23</v>
      </c>
      <c r="G397" s="13" t="s">
        <v>655</v>
      </c>
      <c r="H397" s="13">
        <v>51.311999999999998</v>
      </c>
      <c r="I397" s="13">
        <v>3</v>
      </c>
      <c r="J397" s="13">
        <v>0.2</v>
      </c>
      <c r="K397" s="21">
        <v>17.959199999999999</v>
      </c>
    </row>
    <row r="398" spans="1:11" x14ac:dyDescent="0.3">
      <c r="A398" s="20" t="s">
        <v>656</v>
      </c>
      <c r="B398" s="14">
        <v>43051</v>
      </c>
      <c r="C398" s="14" t="str">
        <f t="shared" si="6"/>
        <v>Nov</v>
      </c>
      <c r="D398" s="13" t="s">
        <v>16</v>
      </c>
      <c r="E398" s="13" t="s">
        <v>657</v>
      </c>
      <c r="F398" s="13" t="s">
        <v>23</v>
      </c>
      <c r="G398" s="13" t="s">
        <v>658</v>
      </c>
      <c r="H398" s="13">
        <v>10.56</v>
      </c>
      <c r="I398" s="13">
        <v>2</v>
      </c>
      <c r="J398" s="13">
        <v>0</v>
      </c>
      <c r="K398" s="21">
        <v>4.7519999999999998</v>
      </c>
    </row>
    <row r="399" spans="1:11" x14ac:dyDescent="0.3">
      <c r="A399" s="20" t="s">
        <v>659</v>
      </c>
      <c r="B399" s="14">
        <v>43048</v>
      </c>
      <c r="C399" s="14" t="str">
        <f t="shared" si="6"/>
        <v>Nov</v>
      </c>
      <c r="D399" s="13" t="s">
        <v>11</v>
      </c>
      <c r="E399" s="13" t="s">
        <v>88</v>
      </c>
      <c r="F399" s="13" t="s">
        <v>18</v>
      </c>
      <c r="G399" s="13" t="s">
        <v>660</v>
      </c>
      <c r="H399" s="13">
        <v>96.53</v>
      </c>
      <c r="I399" s="13">
        <v>7</v>
      </c>
      <c r="J399" s="13">
        <v>0</v>
      </c>
      <c r="K399" s="21">
        <v>40.5426</v>
      </c>
    </row>
    <row r="400" spans="1:11" x14ac:dyDescent="0.3">
      <c r="A400" s="20" t="s">
        <v>661</v>
      </c>
      <c r="B400" s="14">
        <v>43070</v>
      </c>
      <c r="C400" s="14" t="str">
        <f t="shared" si="6"/>
        <v>Dec</v>
      </c>
      <c r="D400" s="13" t="s">
        <v>11</v>
      </c>
      <c r="E400" s="13" t="s">
        <v>88</v>
      </c>
      <c r="F400" s="13" t="s">
        <v>13</v>
      </c>
      <c r="G400" s="13" t="s">
        <v>413</v>
      </c>
      <c r="H400" s="13">
        <v>20.37</v>
      </c>
      <c r="I400" s="13">
        <v>3</v>
      </c>
      <c r="J400" s="13">
        <v>0</v>
      </c>
      <c r="K400" s="21">
        <v>6.9257999999999997</v>
      </c>
    </row>
    <row r="401" spans="1:11" x14ac:dyDescent="0.3">
      <c r="A401" s="20" t="s">
        <v>661</v>
      </c>
      <c r="B401" s="14">
        <v>43070</v>
      </c>
      <c r="C401" s="14" t="str">
        <f t="shared" si="6"/>
        <v>Dec</v>
      </c>
      <c r="D401" s="13" t="s">
        <v>11</v>
      </c>
      <c r="E401" s="13" t="s">
        <v>88</v>
      </c>
      <c r="F401" s="13" t="s">
        <v>23</v>
      </c>
      <c r="G401" s="13" t="s">
        <v>662</v>
      </c>
      <c r="H401" s="13">
        <v>221.55</v>
      </c>
      <c r="I401" s="13">
        <v>3</v>
      </c>
      <c r="J401" s="13">
        <v>0</v>
      </c>
      <c r="K401" s="21">
        <v>6.6464999999999996</v>
      </c>
    </row>
    <row r="402" spans="1:11" x14ac:dyDescent="0.3">
      <c r="A402" s="20" t="s">
        <v>661</v>
      </c>
      <c r="B402" s="14">
        <v>43070</v>
      </c>
      <c r="C402" s="14" t="str">
        <f t="shared" si="6"/>
        <v>Dec</v>
      </c>
      <c r="D402" s="13" t="s">
        <v>11</v>
      </c>
      <c r="E402" s="13" t="s">
        <v>88</v>
      </c>
      <c r="F402" s="13" t="s">
        <v>23</v>
      </c>
      <c r="G402" s="13" t="s">
        <v>663</v>
      </c>
      <c r="H402" s="13">
        <v>17.52</v>
      </c>
      <c r="I402" s="13">
        <v>5</v>
      </c>
      <c r="J402" s="13">
        <v>0.2</v>
      </c>
      <c r="K402" s="21">
        <v>6.1319999999999997</v>
      </c>
    </row>
    <row r="403" spans="1:11" x14ac:dyDescent="0.3">
      <c r="A403" s="20" t="s">
        <v>664</v>
      </c>
      <c r="B403" s="14">
        <v>43097</v>
      </c>
      <c r="C403" s="14" t="str">
        <f t="shared" si="6"/>
        <v>Dec</v>
      </c>
      <c r="D403" s="13" t="s">
        <v>16</v>
      </c>
      <c r="E403" s="13" t="s">
        <v>85</v>
      </c>
      <c r="F403" s="13" t="s">
        <v>23</v>
      </c>
      <c r="G403" s="13" t="s">
        <v>665</v>
      </c>
      <c r="H403" s="13">
        <v>725.84</v>
      </c>
      <c r="I403" s="13">
        <v>4</v>
      </c>
      <c r="J403" s="13">
        <v>0</v>
      </c>
      <c r="K403" s="21">
        <v>210.49359999999999</v>
      </c>
    </row>
    <row r="404" spans="1:11" x14ac:dyDescent="0.3">
      <c r="A404" s="20" t="s">
        <v>666</v>
      </c>
      <c r="B404" s="14">
        <v>43025</v>
      </c>
      <c r="C404" s="14" t="str">
        <f t="shared" si="6"/>
        <v>Oct</v>
      </c>
      <c r="D404" s="13" t="s">
        <v>11</v>
      </c>
      <c r="E404" s="13" t="s">
        <v>667</v>
      </c>
      <c r="F404" s="13" t="s">
        <v>23</v>
      </c>
      <c r="G404" s="13" t="s">
        <v>668</v>
      </c>
      <c r="H404" s="13">
        <v>49.96</v>
      </c>
      <c r="I404" s="13">
        <v>2</v>
      </c>
      <c r="J404" s="13">
        <v>0</v>
      </c>
      <c r="K404" s="21">
        <v>9.4923999999999999</v>
      </c>
    </row>
    <row r="405" spans="1:11" x14ac:dyDescent="0.3">
      <c r="A405" s="20" t="s">
        <v>666</v>
      </c>
      <c r="B405" s="14">
        <v>43025</v>
      </c>
      <c r="C405" s="14" t="str">
        <f t="shared" si="6"/>
        <v>Oct</v>
      </c>
      <c r="D405" s="13" t="s">
        <v>11</v>
      </c>
      <c r="E405" s="13" t="s">
        <v>667</v>
      </c>
      <c r="F405" s="13" t="s">
        <v>23</v>
      </c>
      <c r="G405" s="13" t="s">
        <v>669</v>
      </c>
      <c r="H405" s="13">
        <v>12.96</v>
      </c>
      <c r="I405" s="13">
        <v>2</v>
      </c>
      <c r="J405" s="13">
        <v>0</v>
      </c>
      <c r="K405" s="21">
        <v>6.2207999999999997</v>
      </c>
    </row>
    <row r="406" spans="1:11" x14ac:dyDescent="0.3">
      <c r="A406" s="20" t="s">
        <v>670</v>
      </c>
      <c r="B406" s="14">
        <v>42901</v>
      </c>
      <c r="C406" s="14" t="str">
        <f t="shared" si="6"/>
        <v>Jun</v>
      </c>
      <c r="D406" s="13" t="s">
        <v>16</v>
      </c>
      <c r="E406" s="13" t="s">
        <v>85</v>
      </c>
      <c r="F406" s="13" t="s">
        <v>13</v>
      </c>
      <c r="G406" s="13" t="s">
        <v>671</v>
      </c>
      <c r="H406" s="13">
        <v>47.975999999999999</v>
      </c>
      <c r="I406" s="13">
        <v>3</v>
      </c>
      <c r="J406" s="13">
        <v>0.2</v>
      </c>
      <c r="K406" s="21">
        <v>4.7976000000000001</v>
      </c>
    </row>
    <row r="407" spans="1:11" x14ac:dyDescent="0.3">
      <c r="A407" s="20" t="s">
        <v>672</v>
      </c>
      <c r="B407" s="14">
        <v>41896</v>
      </c>
      <c r="C407" s="14" t="str">
        <f t="shared" si="6"/>
        <v>Sep</v>
      </c>
      <c r="D407" s="13" t="s">
        <v>21</v>
      </c>
      <c r="E407" s="13" t="s">
        <v>147</v>
      </c>
      <c r="F407" s="13" t="s">
        <v>23</v>
      </c>
      <c r="G407" s="13" t="s">
        <v>673</v>
      </c>
      <c r="H407" s="13">
        <v>52.448</v>
      </c>
      <c r="I407" s="13">
        <v>2</v>
      </c>
      <c r="J407" s="13">
        <v>0.8</v>
      </c>
      <c r="K407" s="21">
        <v>-131.12</v>
      </c>
    </row>
    <row r="408" spans="1:11" x14ac:dyDescent="0.3">
      <c r="A408" s="20" t="s">
        <v>672</v>
      </c>
      <c r="B408" s="14">
        <v>41896</v>
      </c>
      <c r="C408" s="14" t="str">
        <f t="shared" si="6"/>
        <v>Sep</v>
      </c>
      <c r="D408" s="13" t="s">
        <v>21</v>
      </c>
      <c r="E408" s="13" t="s">
        <v>147</v>
      </c>
      <c r="F408" s="13" t="s">
        <v>23</v>
      </c>
      <c r="G408" s="13" t="s">
        <v>674</v>
      </c>
      <c r="H408" s="13">
        <v>20.16</v>
      </c>
      <c r="I408" s="13">
        <v>4</v>
      </c>
      <c r="J408" s="13">
        <v>0.2</v>
      </c>
      <c r="K408" s="21">
        <v>6.5519999999999996</v>
      </c>
    </row>
    <row r="409" spans="1:11" x14ac:dyDescent="0.3">
      <c r="A409" s="20" t="s">
        <v>675</v>
      </c>
      <c r="B409" s="14">
        <v>41901</v>
      </c>
      <c r="C409" s="14" t="str">
        <f t="shared" si="6"/>
        <v>Sep</v>
      </c>
      <c r="D409" s="13" t="s">
        <v>21</v>
      </c>
      <c r="E409" s="13" t="s">
        <v>206</v>
      </c>
      <c r="F409" s="13" t="s">
        <v>13</v>
      </c>
      <c r="G409" s="13" t="s">
        <v>120</v>
      </c>
      <c r="H409" s="13">
        <v>3059.982</v>
      </c>
      <c r="I409" s="13">
        <v>3</v>
      </c>
      <c r="J409" s="13">
        <v>0.4</v>
      </c>
      <c r="K409" s="21">
        <v>-509.99700000000001</v>
      </c>
    </row>
    <row r="410" spans="1:11" x14ac:dyDescent="0.3">
      <c r="A410" s="20" t="s">
        <v>675</v>
      </c>
      <c r="B410" s="14">
        <v>41901</v>
      </c>
      <c r="C410" s="14" t="str">
        <f t="shared" si="6"/>
        <v>Sep</v>
      </c>
      <c r="D410" s="13" t="s">
        <v>21</v>
      </c>
      <c r="E410" s="13" t="s">
        <v>206</v>
      </c>
      <c r="F410" s="13" t="s">
        <v>13</v>
      </c>
      <c r="G410" s="13" t="s">
        <v>676</v>
      </c>
      <c r="H410" s="13">
        <v>2519.9580000000001</v>
      </c>
      <c r="I410" s="13">
        <v>7</v>
      </c>
      <c r="J410" s="13">
        <v>0.4</v>
      </c>
      <c r="K410" s="21">
        <v>-251.9958</v>
      </c>
    </row>
    <row r="411" spans="1:11" x14ac:dyDescent="0.3">
      <c r="A411" s="20" t="s">
        <v>677</v>
      </c>
      <c r="B411" s="14">
        <v>41682</v>
      </c>
      <c r="C411" s="14" t="str">
        <f t="shared" si="6"/>
        <v>Feb</v>
      </c>
      <c r="D411" s="13" t="s">
        <v>16</v>
      </c>
      <c r="E411" s="13" t="s">
        <v>552</v>
      </c>
      <c r="F411" s="13" t="s">
        <v>18</v>
      </c>
      <c r="G411" s="13" t="s">
        <v>678</v>
      </c>
      <c r="H411" s="13">
        <v>129.56800000000001</v>
      </c>
      <c r="I411" s="13">
        <v>2</v>
      </c>
      <c r="J411" s="13">
        <v>0.2</v>
      </c>
      <c r="K411" s="21">
        <v>-24.294</v>
      </c>
    </row>
    <row r="412" spans="1:11" x14ac:dyDescent="0.3">
      <c r="A412" s="20" t="s">
        <v>679</v>
      </c>
      <c r="B412" s="14">
        <v>41843</v>
      </c>
      <c r="C412" s="14" t="str">
        <f t="shared" si="6"/>
        <v>Jul</v>
      </c>
      <c r="D412" s="13" t="s">
        <v>16</v>
      </c>
      <c r="E412" s="13" t="s">
        <v>680</v>
      </c>
      <c r="F412" s="13" t="s">
        <v>23</v>
      </c>
      <c r="G412" s="13" t="s">
        <v>681</v>
      </c>
      <c r="H412" s="13">
        <v>8.16</v>
      </c>
      <c r="I412" s="13">
        <v>5</v>
      </c>
      <c r="J412" s="13">
        <v>0.7</v>
      </c>
      <c r="K412" s="21">
        <v>-5.7119999999999997</v>
      </c>
    </row>
    <row r="413" spans="1:11" x14ac:dyDescent="0.3">
      <c r="A413" s="20" t="s">
        <v>679</v>
      </c>
      <c r="B413" s="14">
        <v>41843</v>
      </c>
      <c r="C413" s="14" t="str">
        <f t="shared" si="6"/>
        <v>Jul</v>
      </c>
      <c r="D413" s="13" t="s">
        <v>16</v>
      </c>
      <c r="E413" s="13" t="s">
        <v>680</v>
      </c>
      <c r="F413" s="13" t="s">
        <v>13</v>
      </c>
      <c r="G413" s="13" t="s">
        <v>682</v>
      </c>
      <c r="H413" s="13">
        <v>1023.936</v>
      </c>
      <c r="I413" s="13">
        <v>8</v>
      </c>
      <c r="J413" s="13">
        <v>0.2</v>
      </c>
      <c r="K413" s="21">
        <v>179.18879999999999</v>
      </c>
    </row>
    <row r="414" spans="1:11" x14ac:dyDescent="0.3">
      <c r="A414" s="20" t="s">
        <v>679</v>
      </c>
      <c r="B414" s="14">
        <v>41843</v>
      </c>
      <c r="C414" s="14" t="str">
        <f t="shared" si="6"/>
        <v>Jul</v>
      </c>
      <c r="D414" s="13" t="s">
        <v>16</v>
      </c>
      <c r="E414" s="13" t="s">
        <v>680</v>
      </c>
      <c r="F414" s="13" t="s">
        <v>23</v>
      </c>
      <c r="G414" s="13" t="s">
        <v>683</v>
      </c>
      <c r="H414" s="13">
        <v>9.24</v>
      </c>
      <c r="I414" s="13">
        <v>1</v>
      </c>
      <c r="J414" s="13">
        <v>0.2</v>
      </c>
      <c r="K414" s="21">
        <v>0.92400000000000004</v>
      </c>
    </row>
    <row r="415" spans="1:11" x14ac:dyDescent="0.3">
      <c r="A415" s="20" t="s">
        <v>679</v>
      </c>
      <c r="B415" s="14">
        <v>41843</v>
      </c>
      <c r="C415" s="14" t="str">
        <f t="shared" si="6"/>
        <v>Jul</v>
      </c>
      <c r="D415" s="13" t="s">
        <v>16</v>
      </c>
      <c r="E415" s="13" t="s">
        <v>680</v>
      </c>
      <c r="F415" s="13" t="s">
        <v>13</v>
      </c>
      <c r="G415" s="13" t="s">
        <v>684</v>
      </c>
      <c r="H415" s="13">
        <v>479.04</v>
      </c>
      <c r="I415" s="13">
        <v>10</v>
      </c>
      <c r="J415" s="13">
        <v>0.2</v>
      </c>
      <c r="K415" s="21">
        <v>-29.94</v>
      </c>
    </row>
    <row r="416" spans="1:11" x14ac:dyDescent="0.3">
      <c r="A416" s="20" t="s">
        <v>685</v>
      </c>
      <c r="B416" s="14">
        <v>41902</v>
      </c>
      <c r="C416" s="14" t="str">
        <f t="shared" si="6"/>
        <v>Sep</v>
      </c>
      <c r="D416" s="13" t="s">
        <v>21</v>
      </c>
      <c r="E416" s="13" t="s">
        <v>686</v>
      </c>
      <c r="F416" s="13" t="s">
        <v>18</v>
      </c>
      <c r="G416" s="13" t="s">
        <v>687</v>
      </c>
      <c r="H416" s="13">
        <v>617.70000000000005</v>
      </c>
      <c r="I416" s="13">
        <v>6</v>
      </c>
      <c r="J416" s="13">
        <v>0.5</v>
      </c>
      <c r="K416" s="21">
        <v>-407.68200000000002</v>
      </c>
    </row>
    <row r="417" spans="1:11" x14ac:dyDescent="0.3">
      <c r="A417" s="20" t="s">
        <v>688</v>
      </c>
      <c r="B417" s="14">
        <v>41797</v>
      </c>
      <c r="C417" s="14" t="str">
        <f t="shared" si="6"/>
        <v>Jun</v>
      </c>
      <c r="D417" s="13" t="s">
        <v>21</v>
      </c>
      <c r="E417" s="13" t="s">
        <v>689</v>
      </c>
      <c r="F417" s="13" t="s">
        <v>23</v>
      </c>
      <c r="G417" s="13" t="s">
        <v>690</v>
      </c>
      <c r="H417" s="13">
        <v>12.462</v>
      </c>
      <c r="I417" s="13">
        <v>3</v>
      </c>
      <c r="J417" s="13">
        <v>0.8</v>
      </c>
      <c r="K417" s="21">
        <v>-20.5623</v>
      </c>
    </row>
    <row r="418" spans="1:11" x14ac:dyDescent="0.3">
      <c r="A418" s="20" t="s">
        <v>691</v>
      </c>
      <c r="B418" s="14">
        <v>41903</v>
      </c>
      <c r="C418" s="14" t="str">
        <f t="shared" si="6"/>
        <v>Sep</v>
      </c>
      <c r="D418" s="13" t="s">
        <v>16</v>
      </c>
      <c r="E418" s="13" t="s">
        <v>692</v>
      </c>
      <c r="F418" s="13" t="s">
        <v>13</v>
      </c>
      <c r="G418" s="13" t="s">
        <v>693</v>
      </c>
      <c r="H418" s="13">
        <v>246.38399999999999</v>
      </c>
      <c r="I418" s="13">
        <v>2</v>
      </c>
      <c r="J418" s="13">
        <v>0.2</v>
      </c>
      <c r="K418" s="21">
        <v>27.7182</v>
      </c>
    </row>
    <row r="419" spans="1:11" x14ac:dyDescent="0.3">
      <c r="A419" s="20" t="s">
        <v>691</v>
      </c>
      <c r="B419" s="14">
        <v>41903</v>
      </c>
      <c r="C419" s="14" t="str">
        <f t="shared" si="6"/>
        <v>Sep</v>
      </c>
      <c r="D419" s="13" t="s">
        <v>16</v>
      </c>
      <c r="E419" s="13" t="s">
        <v>692</v>
      </c>
      <c r="F419" s="13" t="s">
        <v>13</v>
      </c>
      <c r="G419" s="13" t="s">
        <v>694</v>
      </c>
      <c r="H419" s="13">
        <v>1799.97</v>
      </c>
      <c r="I419" s="13">
        <v>3</v>
      </c>
      <c r="J419" s="13">
        <v>0</v>
      </c>
      <c r="K419" s="21">
        <v>701.98829999999998</v>
      </c>
    </row>
    <row r="420" spans="1:11" x14ac:dyDescent="0.3">
      <c r="A420" s="20" t="s">
        <v>695</v>
      </c>
      <c r="B420" s="14">
        <v>41969</v>
      </c>
      <c r="C420" s="14" t="str">
        <f t="shared" si="6"/>
        <v>Nov</v>
      </c>
      <c r="D420" s="13" t="s">
        <v>21</v>
      </c>
      <c r="E420" s="13" t="s">
        <v>206</v>
      </c>
      <c r="F420" s="13" t="s">
        <v>18</v>
      </c>
      <c r="G420" s="13" t="s">
        <v>696</v>
      </c>
      <c r="H420" s="13">
        <v>19.3</v>
      </c>
      <c r="I420" s="13">
        <v>5</v>
      </c>
      <c r="J420" s="13">
        <v>0.6</v>
      </c>
      <c r="K420" s="21">
        <v>-14.475</v>
      </c>
    </row>
    <row r="421" spans="1:11" x14ac:dyDescent="0.3">
      <c r="A421" s="20" t="s">
        <v>697</v>
      </c>
      <c r="B421" s="14">
        <v>41992</v>
      </c>
      <c r="C421" s="14" t="str">
        <f t="shared" si="6"/>
        <v>Dec</v>
      </c>
      <c r="D421" s="13" t="s">
        <v>44</v>
      </c>
      <c r="E421" s="13" t="s">
        <v>698</v>
      </c>
      <c r="F421" s="13" t="s">
        <v>23</v>
      </c>
      <c r="G421" s="13" t="s">
        <v>699</v>
      </c>
      <c r="H421" s="13">
        <v>4.8120000000000003</v>
      </c>
      <c r="I421" s="13">
        <v>2</v>
      </c>
      <c r="J421" s="13">
        <v>0.7</v>
      </c>
      <c r="K421" s="21">
        <v>-3.6892</v>
      </c>
    </row>
    <row r="422" spans="1:11" x14ac:dyDescent="0.3">
      <c r="A422" s="20" t="s">
        <v>697</v>
      </c>
      <c r="B422" s="14">
        <v>41992</v>
      </c>
      <c r="C422" s="14" t="str">
        <f t="shared" si="6"/>
        <v>Dec</v>
      </c>
      <c r="D422" s="13" t="s">
        <v>44</v>
      </c>
      <c r="E422" s="13" t="s">
        <v>698</v>
      </c>
      <c r="F422" s="13" t="s">
        <v>13</v>
      </c>
      <c r="G422" s="13" t="s">
        <v>700</v>
      </c>
      <c r="H422" s="13">
        <v>247.8</v>
      </c>
      <c r="I422" s="13">
        <v>5</v>
      </c>
      <c r="J422" s="13">
        <v>0.2</v>
      </c>
      <c r="K422" s="21">
        <v>-18.585000000000001</v>
      </c>
    </row>
    <row r="423" spans="1:11" x14ac:dyDescent="0.3">
      <c r="A423" s="20" t="s">
        <v>701</v>
      </c>
      <c r="B423" s="14">
        <v>41999</v>
      </c>
      <c r="C423" s="14" t="str">
        <f t="shared" si="6"/>
        <v>Dec</v>
      </c>
      <c r="D423" s="13" t="s">
        <v>21</v>
      </c>
      <c r="E423" s="13" t="s">
        <v>206</v>
      </c>
      <c r="F423" s="13" t="s">
        <v>18</v>
      </c>
      <c r="G423" s="13" t="s">
        <v>19</v>
      </c>
      <c r="H423" s="13">
        <v>600.55799999999999</v>
      </c>
      <c r="I423" s="13">
        <v>3</v>
      </c>
      <c r="J423" s="13">
        <v>0.3</v>
      </c>
      <c r="K423" s="21">
        <v>-8.5793999999999997</v>
      </c>
    </row>
    <row r="424" spans="1:11" x14ac:dyDescent="0.3">
      <c r="A424" s="20" t="s">
        <v>702</v>
      </c>
      <c r="B424" s="14">
        <v>41895</v>
      </c>
      <c r="C424" s="14" t="str">
        <f t="shared" si="6"/>
        <v>Sep</v>
      </c>
      <c r="D424" s="13" t="s">
        <v>44</v>
      </c>
      <c r="E424" s="13" t="s">
        <v>420</v>
      </c>
      <c r="F424" s="13" t="s">
        <v>23</v>
      </c>
      <c r="G424" s="13" t="s">
        <v>703</v>
      </c>
      <c r="H424" s="13">
        <v>18.648</v>
      </c>
      <c r="I424" s="13">
        <v>7</v>
      </c>
      <c r="J424" s="13">
        <v>0.7</v>
      </c>
      <c r="K424" s="21">
        <v>-12.432</v>
      </c>
    </row>
    <row r="425" spans="1:11" x14ac:dyDescent="0.3">
      <c r="A425" s="20" t="s">
        <v>704</v>
      </c>
      <c r="B425" s="14">
        <v>42021</v>
      </c>
      <c r="C425" s="14" t="str">
        <f t="shared" si="6"/>
        <v>Jan</v>
      </c>
      <c r="D425" s="13" t="s">
        <v>21</v>
      </c>
      <c r="E425" s="13" t="s">
        <v>705</v>
      </c>
      <c r="F425" s="13" t="s">
        <v>18</v>
      </c>
      <c r="G425" s="13" t="s">
        <v>40</v>
      </c>
      <c r="H425" s="13">
        <v>254.744</v>
      </c>
      <c r="I425" s="13">
        <v>7</v>
      </c>
      <c r="J425" s="13">
        <v>0.6</v>
      </c>
      <c r="K425" s="21">
        <v>-312.06139999999999</v>
      </c>
    </row>
    <row r="426" spans="1:11" x14ac:dyDescent="0.3">
      <c r="A426" s="20" t="s">
        <v>706</v>
      </c>
      <c r="B426" s="14">
        <v>42329</v>
      </c>
      <c r="C426" s="14" t="str">
        <f t="shared" si="6"/>
        <v>Nov</v>
      </c>
      <c r="D426" s="13" t="s">
        <v>11</v>
      </c>
      <c r="E426" s="13" t="s">
        <v>30</v>
      </c>
      <c r="F426" s="13" t="s">
        <v>18</v>
      </c>
      <c r="G426" s="13" t="s">
        <v>707</v>
      </c>
      <c r="H426" s="13">
        <v>396.80200000000002</v>
      </c>
      <c r="I426" s="13">
        <v>7</v>
      </c>
      <c r="J426" s="13">
        <v>0.3</v>
      </c>
      <c r="K426" s="21">
        <v>-11.337199999999999</v>
      </c>
    </row>
    <row r="427" spans="1:11" x14ac:dyDescent="0.3">
      <c r="A427" s="20" t="s">
        <v>706</v>
      </c>
      <c r="B427" s="14">
        <v>42329</v>
      </c>
      <c r="C427" s="14" t="str">
        <f t="shared" si="6"/>
        <v>Nov</v>
      </c>
      <c r="D427" s="13" t="s">
        <v>11</v>
      </c>
      <c r="E427" s="13" t="s">
        <v>30</v>
      </c>
      <c r="F427" s="13" t="s">
        <v>23</v>
      </c>
      <c r="G427" s="13" t="s">
        <v>708</v>
      </c>
      <c r="H427" s="13">
        <v>15.88</v>
      </c>
      <c r="I427" s="13">
        <v>5</v>
      </c>
      <c r="J427" s="13">
        <v>0.2</v>
      </c>
      <c r="K427" s="21">
        <v>-3.7715000000000001</v>
      </c>
    </row>
    <row r="428" spans="1:11" x14ac:dyDescent="0.3">
      <c r="A428" s="20" t="s">
        <v>709</v>
      </c>
      <c r="B428" s="14">
        <v>42288</v>
      </c>
      <c r="C428" s="14" t="str">
        <f t="shared" si="6"/>
        <v>Oct</v>
      </c>
      <c r="D428" s="13" t="s">
        <v>44</v>
      </c>
      <c r="E428" s="13" t="s">
        <v>710</v>
      </c>
      <c r="F428" s="13" t="s">
        <v>18</v>
      </c>
      <c r="G428" s="13" t="s">
        <v>189</v>
      </c>
      <c r="H428" s="13">
        <v>957.57749999999999</v>
      </c>
      <c r="I428" s="13">
        <v>5</v>
      </c>
      <c r="J428" s="13">
        <v>0.45</v>
      </c>
      <c r="K428" s="21">
        <v>-383.03100000000001</v>
      </c>
    </row>
    <row r="429" spans="1:11" x14ac:dyDescent="0.3">
      <c r="A429" s="20" t="s">
        <v>709</v>
      </c>
      <c r="B429" s="14">
        <v>42288</v>
      </c>
      <c r="C429" s="14" t="str">
        <f t="shared" si="6"/>
        <v>Oct</v>
      </c>
      <c r="D429" s="13" t="s">
        <v>44</v>
      </c>
      <c r="E429" s="13" t="s">
        <v>710</v>
      </c>
      <c r="F429" s="13" t="s">
        <v>23</v>
      </c>
      <c r="G429" s="13" t="s">
        <v>711</v>
      </c>
      <c r="H429" s="13">
        <v>22.367999999999999</v>
      </c>
      <c r="I429" s="13">
        <v>2</v>
      </c>
      <c r="J429" s="13">
        <v>0.2</v>
      </c>
      <c r="K429" s="21">
        <v>2.5164</v>
      </c>
    </row>
    <row r="430" spans="1:11" x14ac:dyDescent="0.3">
      <c r="A430" s="20" t="s">
        <v>712</v>
      </c>
      <c r="B430" s="14">
        <v>42330</v>
      </c>
      <c r="C430" s="14" t="str">
        <f t="shared" si="6"/>
        <v>Nov</v>
      </c>
      <c r="D430" s="13" t="s">
        <v>21</v>
      </c>
      <c r="E430" s="13" t="s">
        <v>713</v>
      </c>
      <c r="F430" s="13" t="s">
        <v>23</v>
      </c>
      <c r="G430" s="13" t="s">
        <v>714</v>
      </c>
      <c r="H430" s="13">
        <v>68.81</v>
      </c>
      <c r="I430" s="13">
        <v>5</v>
      </c>
      <c r="J430" s="13">
        <v>0.8</v>
      </c>
      <c r="K430" s="21">
        <v>-123.858</v>
      </c>
    </row>
    <row r="431" spans="1:11" x14ac:dyDescent="0.3">
      <c r="A431" s="20" t="s">
        <v>712</v>
      </c>
      <c r="B431" s="14">
        <v>42330</v>
      </c>
      <c r="C431" s="14" t="str">
        <f t="shared" si="6"/>
        <v>Nov</v>
      </c>
      <c r="D431" s="13" t="s">
        <v>21</v>
      </c>
      <c r="E431" s="13" t="s">
        <v>713</v>
      </c>
      <c r="F431" s="13" t="s">
        <v>23</v>
      </c>
      <c r="G431" s="13" t="s">
        <v>715</v>
      </c>
      <c r="H431" s="13">
        <v>2.544</v>
      </c>
      <c r="I431" s="13">
        <v>3</v>
      </c>
      <c r="J431" s="13">
        <v>0.8</v>
      </c>
      <c r="K431" s="21">
        <v>-3.8159999999999998</v>
      </c>
    </row>
    <row r="432" spans="1:11" x14ac:dyDescent="0.3">
      <c r="A432" s="20" t="s">
        <v>716</v>
      </c>
      <c r="B432" s="14">
        <v>42358</v>
      </c>
      <c r="C432" s="14" t="str">
        <f t="shared" si="6"/>
        <v>Dec</v>
      </c>
      <c r="D432" s="13" t="s">
        <v>21</v>
      </c>
      <c r="E432" s="13" t="s">
        <v>717</v>
      </c>
      <c r="F432" s="13" t="s">
        <v>23</v>
      </c>
      <c r="G432" s="13" t="s">
        <v>174</v>
      </c>
      <c r="H432" s="13">
        <v>88.8</v>
      </c>
      <c r="I432" s="13">
        <v>4</v>
      </c>
      <c r="J432" s="13">
        <v>0.2</v>
      </c>
      <c r="K432" s="21">
        <v>-2.2200000000000002</v>
      </c>
    </row>
    <row r="433" spans="1:11" x14ac:dyDescent="0.3">
      <c r="A433" s="20" t="s">
        <v>718</v>
      </c>
      <c r="B433" s="14">
        <v>42120</v>
      </c>
      <c r="C433" s="14" t="str">
        <f t="shared" si="6"/>
        <v>Apr</v>
      </c>
      <c r="D433" s="13" t="s">
        <v>44</v>
      </c>
      <c r="E433" s="13" t="s">
        <v>719</v>
      </c>
      <c r="F433" s="13" t="s">
        <v>18</v>
      </c>
      <c r="G433" s="13" t="s">
        <v>720</v>
      </c>
      <c r="H433" s="13">
        <v>831.93600000000004</v>
      </c>
      <c r="I433" s="13">
        <v>8</v>
      </c>
      <c r="J433" s="13">
        <v>0.2</v>
      </c>
      <c r="K433" s="21">
        <v>-114.3912</v>
      </c>
    </row>
    <row r="434" spans="1:11" x14ac:dyDescent="0.3">
      <c r="A434" s="20" t="s">
        <v>718</v>
      </c>
      <c r="B434" s="14">
        <v>42120</v>
      </c>
      <c r="C434" s="14" t="str">
        <f t="shared" si="6"/>
        <v>Apr</v>
      </c>
      <c r="D434" s="13" t="s">
        <v>44</v>
      </c>
      <c r="E434" s="13" t="s">
        <v>719</v>
      </c>
      <c r="F434" s="13" t="s">
        <v>18</v>
      </c>
      <c r="G434" s="13" t="s">
        <v>721</v>
      </c>
      <c r="H434" s="13">
        <v>97.04</v>
      </c>
      <c r="I434" s="13">
        <v>2</v>
      </c>
      <c r="J434" s="13">
        <v>0.2</v>
      </c>
      <c r="K434" s="21">
        <v>1.2130000000000001</v>
      </c>
    </row>
    <row r="435" spans="1:11" x14ac:dyDescent="0.3">
      <c r="A435" s="20" t="s">
        <v>718</v>
      </c>
      <c r="B435" s="14">
        <v>42120</v>
      </c>
      <c r="C435" s="14" t="str">
        <f t="shared" si="6"/>
        <v>Apr</v>
      </c>
      <c r="D435" s="13" t="s">
        <v>44</v>
      </c>
      <c r="E435" s="13" t="s">
        <v>719</v>
      </c>
      <c r="F435" s="13" t="s">
        <v>23</v>
      </c>
      <c r="G435" s="13" t="s">
        <v>722</v>
      </c>
      <c r="H435" s="13">
        <v>72.784000000000006</v>
      </c>
      <c r="I435" s="13">
        <v>1</v>
      </c>
      <c r="J435" s="13">
        <v>0.2</v>
      </c>
      <c r="K435" s="21">
        <v>-18.196000000000002</v>
      </c>
    </row>
    <row r="436" spans="1:11" x14ac:dyDescent="0.3">
      <c r="A436" s="20" t="s">
        <v>723</v>
      </c>
      <c r="B436" s="14">
        <v>42099</v>
      </c>
      <c r="C436" s="14" t="str">
        <f t="shared" si="6"/>
        <v>Apr</v>
      </c>
      <c r="D436" s="13" t="s">
        <v>44</v>
      </c>
      <c r="E436" s="13" t="s">
        <v>724</v>
      </c>
      <c r="F436" s="13" t="s">
        <v>23</v>
      </c>
      <c r="G436" s="13" t="s">
        <v>725</v>
      </c>
      <c r="H436" s="13">
        <v>157.79400000000001</v>
      </c>
      <c r="I436" s="13">
        <v>1</v>
      </c>
      <c r="J436" s="13">
        <v>0.7</v>
      </c>
      <c r="K436" s="21">
        <v>-115.71559999999999</v>
      </c>
    </row>
    <row r="437" spans="1:11" x14ac:dyDescent="0.3">
      <c r="A437" s="20" t="s">
        <v>726</v>
      </c>
      <c r="B437" s="14">
        <v>42063</v>
      </c>
      <c r="C437" s="14" t="str">
        <f t="shared" si="6"/>
        <v>Feb</v>
      </c>
      <c r="D437" s="13" t="s">
        <v>44</v>
      </c>
      <c r="E437" s="13" t="s">
        <v>610</v>
      </c>
      <c r="F437" s="13" t="s">
        <v>18</v>
      </c>
      <c r="G437" s="13" t="s">
        <v>727</v>
      </c>
      <c r="H437" s="13">
        <v>161.56800000000001</v>
      </c>
      <c r="I437" s="13">
        <v>2</v>
      </c>
      <c r="J437" s="13">
        <v>0.2</v>
      </c>
      <c r="K437" s="21">
        <v>-28.2744</v>
      </c>
    </row>
    <row r="438" spans="1:11" x14ac:dyDescent="0.3">
      <c r="A438" s="20" t="s">
        <v>726</v>
      </c>
      <c r="B438" s="14">
        <v>42063</v>
      </c>
      <c r="C438" s="14" t="str">
        <f t="shared" si="6"/>
        <v>Feb</v>
      </c>
      <c r="D438" s="13" t="s">
        <v>44</v>
      </c>
      <c r="E438" s="13" t="s">
        <v>610</v>
      </c>
      <c r="F438" s="13" t="s">
        <v>18</v>
      </c>
      <c r="G438" s="13" t="s">
        <v>728</v>
      </c>
      <c r="H438" s="13">
        <v>389.69600000000003</v>
      </c>
      <c r="I438" s="13">
        <v>8</v>
      </c>
      <c r="J438" s="13">
        <v>0.2</v>
      </c>
      <c r="K438" s="21">
        <v>43.840800000000002</v>
      </c>
    </row>
    <row r="439" spans="1:11" x14ac:dyDescent="0.3">
      <c r="A439" s="20" t="s">
        <v>729</v>
      </c>
      <c r="B439" s="14">
        <v>42264</v>
      </c>
      <c r="C439" s="14" t="str">
        <f t="shared" si="6"/>
        <v>Sep</v>
      </c>
      <c r="D439" s="13" t="s">
        <v>11</v>
      </c>
      <c r="E439" s="13" t="s">
        <v>77</v>
      </c>
      <c r="F439" s="13" t="s">
        <v>18</v>
      </c>
      <c r="G439" s="13" t="s">
        <v>325</v>
      </c>
      <c r="H439" s="13">
        <v>3083.43</v>
      </c>
      <c r="I439" s="13">
        <v>7</v>
      </c>
      <c r="J439" s="13">
        <v>0.5</v>
      </c>
      <c r="K439" s="21">
        <v>-1665.0522000000001</v>
      </c>
    </row>
    <row r="440" spans="1:11" x14ac:dyDescent="0.3">
      <c r="A440" s="20" t="s">
        <v>729</v>
      </c>
      <c r="B440" s="14">
        <v>42264</v>
      </c>
      <c r="C440" s="14" t="str">
        <f t="shared" si="6"/>
        <v>Sep</v>
      </c>
      <c r="D440" s="13" t="s">
        <v>11</v>
      </c>
      <c r="E440" s="13" t="s">
        <v>77</v>
      </c>
      <c r="F440" s="13" t="s">
        <v>23</v>
      </c>
      <c r="G440" s="13" t="s">
        <v>730</v>
      </c>
      <c r="H440" s="13">
        <v>9.6180000000000003</v>
      </c>
      <c r="I440" s="13">
        <v>2</v>
      </c>
      <c r="J440" s="13">
        <v>0.7</v>
      </c>
      <c r="K440" s="21">
        <v>-7.0532000000000004</v>
      </c>
    </row>
    <row r="441" spans="1:11" x14ac:dyDescent="0.3">
      <c r="A441" s="20" t="s">
        <v>729</v>
      </c>
      <c r="B441" s="14">
        <v>42264</v>
      </c>
      <c r="C441" s="14" t="str">
        <f t="shared" si="6"/>
        <v>Sep</v>
      </c>
      <c r="D441" s="13" t="s">
        <v>11</v>
      </c>
      <c r="E441" s="13" t="s">
        <v>77</v>
      </c>
      <c r="F441" s="13" t="s">
        <v>18</v>
      </c>
      <c r="G441" s="13" t="s">
        <v>339</v>
      </c>
      <c r="H441" s="13">
        <v>124.2</v>
      </c>
      <c r="I441" s="13">
        <v>3</v>
      </c>
      <c r="J441" s="13">
        <v>0.2</v>
      </c>
      <c r="K441" s="21">
        <v>15.525</v>
      </c>
    </row>
    <row r="442" spans="1:11" x14ac:dyDescent="0.3">
      <c r="A442" s="20" t="s">
        <v>729</v>
      </c>
      <c r="B442" s="14">
        <v>42264</v>
      </c>
      <c r="C442" s="14" t="str">
        <f t="shared" si="6"/>
        <v>Sep</v>
      </c>
      <c r="D442" s="13" t="s">
        <v>11</v>
      </c>
      <c r="E442" s="13" t="s">
        <v>77</v>
      </c>
      <c r="F442" s="13" t="s">
        <v>23</v>
      </c>
      <c r="G442" s="13" t="s">
        <v>246</v>
      </c>
      <c r="H442" s="13">
        <v>3.2639999999999998</v>
      </c>
      <c r="I442" s="13">
        <v>2</v>
      </c>
      <c r="J442" s="13">
        <v>0.2</v>
      </c>
      <c r="K442" s="21">
        <v>1.1015999999999999</v>
      </c>
    </row>
    <row r="443" spans="1:11" x14ac:dyDescent="0.3">
      <c r="A443" s="20" t="s">
        <v>729</v>
      </c>
      <c r="B443" s="14">
        <v>42264</v>
      </c>
      <c r="C443" s="14" t="str">
        <f t="shared" si="6"/>
        <v>Sep</v>
      </c>
      <c r="D443" s="13" t="s">
        <v>11</v>
      </c>
      <c r="E443" s="13" t="s">
        <v>77</v>
      </c>
      <c r="F443" s="13" t="s">
        <v>23</v>
      </c>
      <c r="G443" s="13" t="s">
        <v>731</v>
      </c>
      <c r="H443" s="13">
        <v>86.304000000000002</v>
      </c>
      <c r="I443" s="13">
        <v>6</v>
      </c>
      <c r="J443" s="13">
        <v>0.2</v>
      </c>
      <c r="K443" s="21">
        <v>9.7091999999999992</v>
      </c>
    </row>
    <row r="444" spans="1:11" x14ac:dyDescent="0.3">
      <c r="A444" s="20" t="s">
        <v>729</v>
      </c>
      <c r="B444" s="14">
        <v>42264</v>
      </c>
      <c r="C444" s="14" t="str">
        <f t="shared" si="6"/>
        <v>Sep</v>
      </c>
      <c r="D444" s="13" t="s">
        <v>11</v>
      </c>
      <c r="E444" s="13" t="s">
        <v>77</v>
      </c>
      <c r="F444" s="13" t="s">
        <v>23</v>
      </c>
      <c r="G444" s="13" t="s">
        <v>732</v>
      </c>
      <c r="H444" s="13">
        <v>6.8579999999999997</v>
      </c>
      <c r="I444" s="13">
        <v>6</v>
      </c>
      <c r="J444" s="13">
        <v>0.7</v>
      </c>
      <c r="K444" s="21">
        <v>-5.7149999999999999</v>
      </c>
    </row>
    <row r="445" spans="1:11" x14ac:dyDescent="0.3">
      <c r="A445" s="20" t="s">
        <v>729</v>
      </c>
      <c r="B445" s="14">
        <v>42264</v>
      </c>
      <c r="C445" s="14" t="str">
        <f t="shared" si="6"/>
        <v>Sep</v>
      </c>
      <c r="D445" s="13" t="s">
        <v>11</v>
      </c>
      <c r="E445" s="13" t="s">
        <v>77</v>
      </c>
      <c r="F445" s="13" t="s">
        <v>23</v>
      </c>
      <c r="G445" s="13" t="s">
        <v>733</v>
      </c>
      <c r="H445" s="13">
        <v>15.76</v>
      </c>
      <c r="I445" s="13">
        <v>2</v>
      </c>
      <c r="J445" s="13">
        <v>0.2</v>
      </c>
      <c r="K445" s="21">
        <v>3.5459999999999998</v>
      </c>
    </row>
    <row r="446" spans="1:11" x14ac:dyDescent="0.3">
      <c r="A446" s="20" t="s">
        <v>734</v>
      </c>
      <c r="B446" s="14">
        <v>42321</v>
      </c>
      <c r="C446" s="14" t="str">
        <f t="shared" si="6"/>
        <v>Nov</v>
      </c>
      <c r="D446" s="13" t="s">
        <v>16</v>
      </c>
      <c r="E446" s="13" t="s">
        <v>735</v>
      </c>
      <c r="F446" s="13" t="s">
        <v>13</v>
      </c>
      <c r="G446" s="13" t="s">
        <v>736</v>
      </c>
      <c r="H446" s="13">
        <v>238.89599999999999</v>
      </c>
      <c r="I446" s="13">
        <v>6</v>
      </c>
      <c r="J446" s="13">
        <v>0.2</v>
      </c>
      <c r="K446" s="21">
        <v>-26.875800000000002</v>
      </c>
    </row>
    <row r="447" spans="1:11" x14ac:dyDescent="0.3">
      <c r="A447" s="20" t="s">
        <v>734</v>
      </c>
      <c r="B447" s="14">
        <v>42321</v>
      </c>
      <c r="C447" s="14" t="str">
        <f t="shared" si="6"/>
        <v>Nov</v>
      </c>
      <c r="D447" s="13" t="s">
        <v>16</v>
      </c>
      <c r="E447" s="13" t="s">
        <v>735</v>
      </c>
      <c r="F447" s="13" t="s">
        <v>18</v>
      </c>
      <c r="G447" s="13" t="s">
        <v>737</v>
      </c>
      <c r="H447" s="13">
        <v>102.36</v>
      </c>
      <c r="I447" s="13">
        <v>3</v>
      </c>
      <c r="J447" s="13">
        <v>0.2</v>
      </c>
      <c r="K447" s="21">
        <v>-3.8384999999999998</v>
      </c>
    </row>
    <row r="448" spans="1:11" x14ac:dyDescent="0.3">
      <c r="A448" s="20" t="s">
        <v>734</v>
      </c>
      <c r="B448" s="14">
        <v>42321</v>
      </c>
      <c r="C448" s="14" t="str">
        <f t="shared" si="6"/>
        <v>Nov</v>
      </c>
      <c r="D448" s="13" t="s">
        <v>16</v>
      </c>
      <c r="E448" s="13" t="s">
        <v>735</v>
      </c>
      <c r="F448" s="13" t="s">
        <v>23</v>
      </c>
      <c r="G448" s="13" t="s">
        <v>738</v>
      </c>
      <c r="H448" s="13">
        <v>36.881999999999998</v>
      </c>
      <c r="I448" s="13">
        <v>3</v>
      </c>
      <c r="J448" s="13">
        <v>0.7</v>
      </c>
      <c r="K448" s="21">
        <v>-25.817399999999999</v>
      </c>
    </row>
    <row r="449" spans="1:11" x14ac:dyDescent="0.3">
      <c r="A449" s="20" t="s">
        <v>739</v>
      </c>
      <c r="B449" s="14">
        <v>42336</v>
      </c>
      <c r="C449" s="14" t="str">
        <f t="shared" si="6"/>
        <v>Nov</v>
      </c>
      <c r="D449" s="13" t="s">
        <v>21</v>
      </c>
      <c r="E449" s="13" t="s">
        <v>147</v>
      </c>
      <c r="F449" s="13" t="s">
        <v>18</v>
      </c>
      <c r="G449" s="13" t="s">
        <v>496</v>
      </c>
      <c r="H449" s="13">
        <v>12.132</v>
      </c>
      <c r="I449" s="13">
        <v>9</v>
      </c>
      <c r="J449" s="13">
        <v>0.6</v>
      </c>
      <c r="K449" s="21">
        <v>-8.4923999999999999</v>
      </c>
    </row>
    <row r="450" spans="1:11" x14ac:dyDescent="0.3">
      <c r="A450" s="20" t="s">
        <v>739</v>
      </c>
      <c r="B450" s="14">
        <v>42336</v>
      </c>
      <c r="C450" s="14" t="str">
        <f t="shared" si="6"/>
        <v>Nov</v>
      </c>
      <c r="D450" s="13" t="s">
        <v>21</v>
      </c>
      <c r="E450" s="13" t="s">
        <v>147</v>
      </c>
      <c r="F450" s="13" t="s">
        <v>23</v>
      </c>
      <c r="G450" s="13" t="s">
        <v>740</v>
      </c>
      <c r="H450" s="13">
        <v>82.367999999999995</v>
      </c>
      <c r="I450" s="13">
        <v>2</v>
      </c>
      <c r="J450" s="13">
        <v>0.2</v>
      </c>
      <c r="K450" s="21">
        <v>-19.5624</v>
      </c>
    </row>
    <row r="451" spans="1:11" x14ac:dyDescent="0.3">
      <c r="A451" s="20" t="s">
        <v>739</v>
      </c>
      <c r="B451" s="14">
        <v>42336</v>
      </c>
      <c r="C451" s="14" t="str">
        <f t="shared" ref="C451:C501" si="7">TEXT(B451,"MMM")</f>
        <v>Nov</v>
      </c>
      <c r="D451" s="13" t="s">
        <v>21</v>
      </c>
      <c r="E451" s="13" t="s">
        <v>147</v>
      </c>
      <c r="F451" s="13" t="s">
        <v>23</v>
      </c>
      <c r="G451" s="13" t="s">
        <v>224</v>
      </c>
      <c r="H451" s="13">
        <v>53.92</v>
      </c>
      <c r="I451" s="13">
        <v>5</v>
      </c>
      <c r="J451" s="13">
        <v>0.2</v>
      </c>
      <c r="K451" s="21">
        <v>4.0439999999999996</v>
      </c>
    </row>
    <row r="452" spans="1:11" x14ac:dyDescent="0.3">
      <c r="A452" s="20" t="s">
        <v>739</v>
      </c>
      <c r="B452" s="14">
        <v>42336</v>
      </c>
      <c r="C452" s="14" t="str">
        <f t="shared" si="7"/>
        <v>Nov</v>
      </c>
      <c r="D452" s="13" t="s">
        <v>21</v>
      </c>
      <c r="E452" s="13" t="s">
        <v>147</v>
      </c>
      <c r="F452" s="13" t="s">
        <v>13</v>
      </c>
      <c r="G452" s="13" t="s">
        <v>741</v>
      </c>
      <c r="H452" s="13">
        <v>647.904</v>
      </c>
      <c r="I452" s="13">
        <v>6</v>
      </c>
      <c r="J452" s="13">
        <v>0.2</v>
      </c>
      <c r="K452" s="21">
        <v>56.691600000000001</v>
      </c>
    </row>
    <row r="453" spans="1:11" x14ac:dyDescent="0.3">
      <c r="A453" s="20" t="s">
        <v>742</v>
      </c>
      <c r="B453" s="14">
        <v>42273</v>
      </c>
      <c r="C453" s="14" t="str">
        <f t="shared" si="7"/>
        <v>Sep</v>
      </c>
      <c r="D453" s="13" t="s">
        <v>21</v>
      </c>
      <c r="E453" s="13" t="s">
        <v>206</v>
      </c>
      <c r="F453" s="13" t="s">
        <v>23</v>
      </c>
      <c r="G453" s="13" t="s">
        <v>743</v>
      </c>
      <c r="H453" s="13">
        <v>2.08</v>
      </c>
      <c r="I453" s="13">
        <v>5</v>
      </c>
      <c r="J453" s="13">
        <v>0.8</v>
      </c>
      <c r="K453" s="21">
        <v>-3.4319999999999999</v>
      </c>
    </row>
    <row r="454" spans="1:11" x14ac:dyDescent="0.3">
      <c r="A454" s="20" t="s">
        <v>742</v>
      </c>
      <c r="B454" s="14">
        <v>42273</v>
      </c>
      <c r="C454" s="14" t="str">
        <f t="shared" si="7"/>
        <v>Sep</v>
      </c>
      <c r="D454" s="13" t="s">
        <v>21</v>
      </c>
      <c r="E454" s="13" t="s">
        <v>206</v>
      </c>
      <c r="F454" s="13" t="s">
        <v>13</v>
      </c>
      <c r="G454" s="13" t="s">
        <v>744</v>
      </c>
      <c r="H454" s="13">
        <v>1114.4000000000001</v>
      </c>
      <c r="I454" s="13">
        <v>7</v>
      </c>
      <c r="J454" s="13">
        <v>0.2</v>
      </c>
      <c r="K454" s="21">
        <v>376.11</v>
      </c>
    </row>
    <row r="455" spans="1:11" x14ac:dyDescent="0.3">
      <c r="A455" s="20" t="s">
        <v>745</v>
      </c>
      <c r="B455" s="14">
        <v>42124</v>
      </c>
      <c r="C455" s="14" t="str">
        <f t="shared" si="7"/>
        <v>Apr</v>
      </c>
      <c r="D455" s="13" t="s">
        <v>21</v>
      </c>
      <c r="E455" s="13" t="s">
        <v>147</v>
      </c>
      <c r="F455" s="13" t="s">
        <v>18</v>
      </c>
      <c r="G455" s="13" t="s">
        <v>746</v>
      </c>
      <c r="H455" s="13">
        <v>213.11500000000001</v>
      </c>
      <c r="I455" s="13">
        <v>5</v>
      </c>
      <c r="J455" s="13">
        <v>0.3</v>
      </c>
      <c r="K455" s="21">
        <v>-15.2225</v>
      </c>
    </row>
    <row r="456" spans="1:11" x14ac:dyDescent="0.3">
      <c r="A456" s="20" t="s">
        <v>747</v>
      </c>
      <c r="B456" s="14">
        <v>42335</v>
      </c>
      <c r="C456" s="14" t="str">
        <f t="shared" si="7"/>
        <v>Nov</v>
      </c>
      <c r="D456" s="13" t="s">
        <v>44</v>
      </c>
      <c r="E456" s="13" t="s">
        <v>748</v>
      </c>
      <c r="F456" s="13" t="s">
        <v>18</v>
      </c>
      <c r="G456" s="13" t="s">
        <v>749</v>
      </c>
      <c r="H456" s="13">
        <v>375.45749999999998</v>
      </c>
      <c r="I456" s="13">
        <v>3</v>
      </c>
      <c r="J456" s="13">
        <v>0.45</v>
      </c>
      <c r="K456" s="21">
        <v>-157.0095</v>
      </c>
    </row>
    <row r="457" spans="1:11" x14ac:dyDescent="0.3">
      <c r="A457" s="20" t="s">
        <v>747</v>
      </c>
      <c r="B457" s="14">
        <v>42335</v>
      </c>
      <c r="C457" s="14" t="str">
        <f t="shared" si="7"/>
        <v>Nov</v>
      </c>
      <c r="D457" s="13" t="s">
        <v>44</v>
      </c>
      <c r="E457" s="13" t="s">
        <v>748</v>
      </c>
      <c r="F457" s="13" t="s">
        <v>13</v>
      </c>
      <c r="G457" s="13" t="s">
        <v>750</v>
      </c>
      <c r="H457" s="13">
        <v>83.975999999999999</v>
      </c>
      <c r="I457" s="13">
        <v>3</v>
      </c>
      <c r="J457" s="13">
        <v>0.2</v>
      </c>
      <c r="K457" s="21">
        <v>-1.0497000000000001</v>
      </c>
    </row>
    <row r="458" spans="1:11" x14ac:dyDescent="0.3">
      <c r="A458" s="20" t="s">
        <v>751</v>
      </c>
      <c r="B458" s="14">
        <v>42720</v>
      </c>
      <c r="C458" s="14" t="str">
        <f t="shared" si="7"/>
        <v>Dec</v>
      </c>
      <c r="D458" s="13" t="s">
        <v>21</v>
      </c>
      <c r="E458" s="13" t="s">
        <v>147</v>
      </c>
      <c r="F458" s="13" t="s">
        <v>23</v>
      </c>
      <c r="G458" s="13" t="s">
        <v>752</v>
      </c>
      <c r="H458" s="13">
        <v>4.7880000000000003</v>
      </c>
      <c r="I458" s="13">
        <v>3</v>
      </c>
      <c r="J458" s="13">
        <v>0.8</v>
      </c>
      <c r="K458" s="21">
        <v>-7.9001999999999999</v>
      </c>
    </row>
    <row r="459" spans="1:11" x14ac:dyDescent="0.3">
      <c r="A459" s="20" t="s">
        <v>753</v>
      </c>
      <c r="B459" s="14">
        <v>42447</v>
      </c>
      <c r="C459" s="14" t="str">
        <f t="shared" si="7"/>
        <v>Mar</v>
      </c>
      <c r="D459" s="13" t="s">
        <v>44</v>
      </c>
      <c r="E459" s="13" t="s">
        <v>719</v>
      </c>
      <c r="F459" s="13" t="s">
        <v>18</v>
      </c>
      <c r="G459" s="13" t="s">
        <v>754</v>
      </c>
      <c r="H459" s="13">
        <v>189.88200000000001</v>
      </c>
      <c r="I459" s="13">
        <v>3</v>
      </c>
      <c r="J459" s="13">
        <v>0.4</v>
      </c>
      <c r="K459" s="21">
        <v>-94.941000000000003</v>
      </c>
    </row>
    <row r="460" spans="1:11" x14ac:dyDescent="0.3">
      <c r="A460" s="20" t="s">
        <v>755</v>
      </c>
      <c r="B460" s="14">
        <v>42475</v>
      </c>
      <c r="C460" s="14" t="str">
        <f t="shared" si="7"/>
        <v>Apr</v>
      </c>
      <c r="D460" s="13" t="s">
        <v>44</v>
      </c>
      <c r="E460" s="13" t="s">
        <v>756</v>
      </c>
      <c r="F460" s="13" t="s">
        <v>23</v>
      </c>
      <c r="G460" s="13" t="s">
        <v>757</v>
      </c>
      <c r="H460" s="13">
        <v>189.58799999999999</v>
      </c>
      <c r="I460" s="13">
        <v>2</v>
      </c>
      <c r="J460" s="13">
        <v>0.7</v>
      </c>
      <c r="K460" s="21">
        <v>-145.35079999999999</v>
      </c>
    </row>
    <row r="461" spans="1:11" x14ac:dyDescent="0.3">
      <c r="A461" s="20" t="s">
        <v>755</v>
      </c>
      <c r="B461" s="14">
        <v>42475</v>
      </c>
      <c r="C461" s="14" t="str">
        <f t="shared" si="7"/>
        <v>Apr</v>
      </c>
      <c r="D461" s="13" t="s">
        <v>44</v>
      </c>
      <c r="E461" s="13" t="s">
        <v>756</v>
      </c>
      <c r="F461" s="13" t="s">
        <v>13</v>
      </c>
      <c r="G461" s="13" t="s">
        <v>171</v>
      </c>
      <c r="H461" s="13">
        <v>408.74400000000003</v>
      </c>
      <c r="I461" s="13">
        <v>7</v>
      </c>
      <c r="J461" s="13">
        <v>0.2</v>
      </c>
      <c r="K461" s="21">
        <v>76.639499999999998</v>
      </c>
    </row>
    <row r="462" spans="1:11" x14ac:dyDescent="0.3">
      <c r="A462" s="20" t="s">
        <v>755</v>
      </c>
      <c r="B462" s="14">
        <v>42475</v>
      </c>
      <c r="C462" s="14" t="str">
        <f t="shared" si="7"/>
        <v>Apr</v>
      </c>
      <c r="D462" s="13" t="s">
        <v>44</v>
      </c>
      <c r="E462" s="13" t="s">
        <v>756</v>
      </c>
      <c r="F462" s="13" t="s">
        <v>13</v>
      </c>
      <c r="G462" s="13" t="s">
        <v>171</v>
      </c>
      <c r="H462" s="13">
        <v>291.95999999999998</v>
      </c>
      <c r="I462" s="13">
        <v>5</v>
      </c>
      <c r="J462" s="13">
        <v>0.2</v>
      </c>
      <c r="K462" s="21">
        <v>54.7425</v>
      </c>
    </row>
    <row r="463" spans="1:11" x14ac:dyDescent="0.3">
      <c r="A463" s="20" t="s">
        <v>755</v>
      </c>
      <c r="B463" s="14">
        <v>42475</v>
      </c>
      <c r="C463" s="14" t="str">
        <f t="shared" si="7"/>
        <v>Apr</v>
      </c>
      <c r="D463" s="13" t="s">
        <v>44</v>
      </c>
      <c r="E463" s="13" t="s">
        <v>756</v>
      </c>
      <c r="F463" s="13" t="s">
        <v>23</v>
      </c>
      <c r="G463" s="13" t="s">
        <v>758</v>
      </c>
      <c r="H463" s="13">
        <v>4.7679999999999998</v>
      </c>
      <c r="I463" s="13">
        <v>2</v>
      </c>
      <c r="J463" s="13">
        <v>0.2</v>
      </c>
      <c r="K463" s="21">
        <v>-0.77480000000000004</v>
      </c>
    </row>
    <row r="464" spans="1:11" x14ac:dyDescent="0.3">
      <c r="A464" s="20" t="s">
        <v>759</v>
      </c>
      <c r="B464" s="14">
        <v>42680</v>
      </c>
      <c r="C464" s="14" t="str">
        <f t="shared" si="7"/>
        <v>Nov</v>
      </c>
      <c r="D464" s="13" t="s">
        <v>16</v>
      </c>
      <c r="E464" s="13" t="s">
        <v>58</v>
      </c>
      <c r="F464" s="13" t="s">
        <v>18</v>
      </c>
      <c r="G464" s="13" t="s">
        <v>760</v>
      </c>
      <c r="H464" s="13">
        <v>81.424000000000007</v>
      </c>
      <c r="I464" s="13">
        <v>2</v>
      </c>
      <c r="J464" s="13">
        <v>0.2</v>
      </c>
      <c r="K464" s="21">
        <v>-9.1601999999999997</v>
      </c>
    </row>
    <row r="465" spans="1:11" x14ac:dyDescent="0.3">
      <c r="A465" s="20" t="s">
        <v>759</v>
      </c>
      <c r="B465" s="14">
        <v>42680</v>
      </c>
      <c r="C465" s="14" t="str">
        <f t="shared" si="7"/>
        <v>Nov</v>
      </c>
      <c r="D465" s="13" t="s">
        <v>16</v>
      </c>
      <c r="E465" s="13" t="s">
        <v>58</v>
      </c>
      <c r="F465" s="13" t="s">
        <v>18</v>
      </c>
      <c r="G465" s="13" t="s">
        <v>761</v>
      </c>
      <c r="H465" s="13">
        <v>238.56</v>
      </c>
      <c r="I465" s="13">
        <v>3</v>
      </c>
      <c r="J465" s="13">
        <v>0</v>
      </c>
      <c r="K465" s="21">
        <v>26.241599999999998</v>
      </c>
    </row>
    <row r="466" spans="1:11" x14ac:dyDescent="0.3">
      <c r="A466" s="20" t="s">
        <v>762</v>
      </c>
      <c r="B466" s="14">
        <v>42641</v>
      </c>
      <c r="C466" s="14" t="str">
        <f t="shared" si="7"/>
        <v>Sep</v>
      </c>
      <c r="D466" s="13" t="s">
        <v>21</v>
      </c>
      <c r="E466" s="13" t="s">
        <v>763</v>
      </c>
      <c r="F466" s="13" t="s">
        <v>23</v>
      </c>
      <c r="G466" s="13" t="s">
        <v>764</v>
      </c>
      <c r="H466" s="13">
        <v>99.135999999999996</v>
      </c>
      <c r="I466" s="13">
        <v>4</v>
      </c>
      <c r="J466" s="13">
        <v>0.2</v>
      </c>
      <c r="K466" s="21">
        <v>30.98</v>
      </c>
    </row>
    <row r="467" spans="1:11" x14ac:dyDescent="0.3">
      <c r="A467" s="20" t="s">
        <v>765</v>
      </c>
      <c r="B467" s="14">
        <v>42612</v>
      </c>
      <c r="C467" s="14" t="str">
        <f t="shared" si="7"/>
        <v>Aug</v>
      </c>
      <c r="D467" s="13" t="s">
        <v>11</v>
      </c>
      <c r="E467" s="13" t="s">
        <v>77</v>
      </c>
      <c r="F467" s="13" t="s">
        <v>13</v>
      </c>
      <c r="G467" s="13" t="s">
        <v>766</v>
      </c>
      <c r="H467" s="13">
        <v>290.89800000000002</v>
      </c>
      <c r="I467" s="13">
        <v>3</v>
      </c>
      <c r="J467" s="13">
        <v>0.4</v>
      </c>
      <c r="K467" s="21">
        <v>-67.876199999999997</v>
      </c>
    </row>
    <row r="468" spans="1:11" x14ac:dyDescent="0.3">
      <c r="A468" s="20" t="s">
        <v>765</v>
      </c>
      <c r="B468" s="14">
        <v>42612</v>
      </c>
      <c r="C468" s="14" t="str">
        <f t="shared" si="7"/>
        <v>Aug</v>
      </c>
      <c r="D468" s="13" t="s">
        <v>11</v>
      </c>
      <c r="E468" s="13" t="s">
        <v>77</v>
      </c>
      <c r="F468" s="13" t="s">
        <v>23</v>
      </c>
      <c r="G468" s="13" t="s">
        <v>767</v>
      </c>
      <c r="H468" s="13">
        <v>54.223999999999997</v>
      </c>
      <c r="I468" s="13">
        <v>2</v>
      </c>
      <c r="J468" s="13">
        <v>0.2</v>
      </c>
      <c r="K468" s="21">
        <v>3.3889999999999998</v>
      </c>
    </row>
    <row r="469" spans="1:11" x14ac:dyDescent="0.3">
      <c r="A469" s="20" t="s">
        <v>765</v>
      </c>
      <c r="B469" s="14">
        <v>42612</v>
      </c>
      <c r="C469" s="14" t="str">
        <f t="shared" si="7"/>
        <v>Aug</v>
      </c>
      <c r="D469" s="13" t="s">
        <v>11</v>
      </c>
      <c r="E469" s="13" t="s">
        <v>77</v>
      </c>
      <c r="F469" s="13" t="s">
        <v>18</v>
      </c>
      <c r="G469" s="13" t="s">
        <v>768</v>
      </c>
      <c r="H469" s="13">
        <v>786.74400000000003</v>
      </c>
      <c r="I469" s="13">
        <v>4</v>
      </c>
      <c r="J469" s="13">
        <v>0.3</v>
      </c>
      <c r="K469" s="21">
        <v>-258.5016</v>
      </c>
    </row>
    <row r="470" spans="1:11" x14ac:dyDescent="0.3">
      <c r="A470" s="20" t="s">
        <v>765</v>
      </c>
      <c r="B470" s="14">
        <v>42612</v>
      </c>
      <c r="C470" s="14" t="str">
        <f t="shared" si="7"/>
        <v>Aug</v>
      </c>
      <c r="D470" s="13" t="s">
        <v>11</v>
      </c>
      <c r="E470" s="13" t="s">
        <v>77</v>
      </c>
      <c r="F470" s="13" t="s">
        <v>23</v>
      </c>
      <c r="G470" s="13" t="s">
        <v>769</v>
      </c>
      <c r="H470" s="13">
        <v>100.24</v>
      </c>
      <c r="I470" s="13">
        <v>10</v>
      </c>
      <c r="J470" s="13">
        <v>0.2</v>
      </c>
      <c r="K470" s="21">
        <v>33.831000000000003</v>
      </c>
    </row>
    <row r="471" spans="1:11" x14ac:dyDescent="0.3">
      <c r="A471" s="20" t="s">
        <v>765</v>
      </c>
      <c r="B471" s="14">
        <v>42612</v>
      </c>
      <c r="C471" s="14" t="str">
        <f t="shared" si="7"/>
        <v>Aug</v>
      </c>
      <c r="D471" s="13" t="s">
        <v>11</v>
      </c>
      <c r="E471" s="13" t="s">
        <v>77</v>
      </c>
      <c r="F471" s="13" t="s">
        <v>23</v>
      </c>
      <c r="G471" s="13" t="s">
        <v>770</v>
      </c>
      <c r="H471" s="13">
        <v>37.764000000000003</v>
      </c>
      <c r="I471" s="13">
        <v>6</v>
      </c>
      <c r="J471" s="13">
        <v>0.7</v>
      </c>
      <c r="K471" s="21">
        <v>-27.6936</v>
      </c>
    </row>
    <row r="472" spans="1:11" x14ac:dyDescent="0.3">
      <c r="A472" s="20" t="s">
        <v>771</v>
      </c>
      <c r="B472" s="14">
        <v>42485</v>
      </c>
      <c r="C472" s="14" t="str">
        <f t="shared" si="7"/>
        <v>Apr</v>
      </c>
      <c r="D472" s="13" t="s">
        <v>11</v>
      </c>
      <c r="E472" s="13" t="s">
        <v>77</v>
      </c>
      <c r="F472" s="13" t="s">
        <v>13</v>
      </c>
      <c r="G472" s="13" t="s">
        <v>772</v>
      </c>
      <c r="H472" s="13">
        <v>82.8</v>
      </c>
      <c r="I472" s="13">
        <v>2</v>
      </c>
      <c r="J472" s="13">
        <v>0.4</v>
      </c>
      <c r="K472" s="21">
        <v>-20.7</v>
      </c>
    </row>
    <row r="473" spans="1:11" x14ac:dyDescent="0.3">
      <c r="A473" s="20" t="s">
        <v>771</v>
      </c>
      <c r="B473" s="14">
        <v>42485</v>
      </c>
      <c r="C473" s="14" t="str">
        <f t="shared" si="7"/>
        <v>Apr</v>
      </c>
      <c r="D473" s="13" t="s">
        <v>11</v>
      </c>
      <c r="E473" s="13" t="s">
        <v>77</v>
      </c>
      <c r="F473" s="13" t="s">
        <v>23</v>
      </c>
      <c r="G473" s="13" t="s">
        <v>773</v>
      </c>
      <c r="H473" s="13">
        <v>20.724</v>
      </c>
      <c r="I473" s="13">
        <v>2</v>
      </c>
      <c r="J473" s="13">
        <v>0.7</v>
      </c>
      <c r="K473" s="21">
        <v>-13.816000000000001</v>
      </c>
    </row>
    <row r="474" spans="1:11" x14ac:dyDescent="0.3">
      <c r="A474" s="20" t="s">
        <v>771</v>
      </c>
      <c r="B474" s="14">
        <v>42485</v>
      </c>
      <c r="C474" s="14" t="str">
        <f t="shared" si="7"/>
        <v>Apr</v>
      </c>
      <c r="D474" s="13" t="s">
        <v>11</v>
      </c>
      <c r="E474" s="13" t="s">
        <v>77</v>
      </c>
      <c r="F474" s="13" t="s">
        <v>23</v>
      </c>
      <c r="G474" s="13" t="s">
        <v>681</v>
      </c>
      <c r="H474" s="13">
        <v>4.8959999999999999</v>
      </c>
      <c r="I474" s="13">
        <v>3</v>
      </c>
      <c r="J474" s="13">
        <v>0.7</v>
      </c>
      <c r="K474" s="21">
        <v>-3.4272</v>
      </c>
    </row>
    <row r="475" spans="1:11" x14ac:dyDescent="0.3">
      <c r="A475" s="20" t="s">
        <v>774</v>
      </c>
      <c r="B475" s="14">
        <v>42639</v>
      </c>
      <c r="C475" s="14" t="str">
        <f t="shared" si="7"/>
        <v>Sep</v>
      </c>
      <c r="D475" s="13" t="s">
        <v>21</v>
      </c>
      <c r="E475" s="13" t="s">
        <v>169</v>
      </c>
      <c r="F475" s="13" t="s">
        <v>18</v>
      </c>
      <c r="G475" s="13" t="s">
        <v>775</v>
      </c>
      <c r="H475" s="13">
        <v>747.55799999999999</v>
      </c>
      <c r="I475" s="13">
        <v>3</v>
      </c>
      <c r="J475" s="13">
        <v>0.3</v>
      </c>
      <c r="K475" s="21">
        <v>-96.114599999999996</v>
      </c>
    </row>
    <row r="476" spans="1:11" x14ac:dyDescent="0.3">
      <c r="A476" s="20" t="s">
        <v>774</v>
      </c>
      <c r="B476" s="14">
        <v>42639</v>
      </c>
      <c r="C476" s="14" t="str">
        <f t="shared" si="7"/>
        <v>Sep</v>
      </c>
      <c r="D476" s="13" t="s">
        <v>21</v>
      </c>
      <c r="E476" s="13" t="s">
        <v>169</v>
      </c>
      <c r="F476" s="13" t="s">
        <v>23</v>
      </c>
      <c r="G476" s="13" t="s">
        <v>480</v>
      </c>
      <c r="H476" s="13">
        <v>8.9280000000000008</v>
      </c>
      <c r="I476" s="13">
        <v>2</v>
      </c>
      <c r="J476" s="13">
        <v>0.2</v>
      </c>
      <c r="K476" s="21">
        <v>3.3479999999999999</v>
      </c>
    </row>
    <row r="477" spans="1:11" x14ac:dyDescent="0.3">
      <c r="A477" s="20" t="s">
        <v>776</v>
      </c>
      <c r="B477" s="14">
        <v>42832</v>
      </c>
      <c r="C477" s="14" t="str">
        <f t="shared" si="7"/>
        <v>Apr</v>
      </c>
      <c r="D477" s="13" t="s">
        <v>44</v>
      </c>
      <c r="E477" s="13" t="s">
        <v>777</v>
      </c>
      <c r="F477" s="13" t="s">
        <v>18</v>
      </c>
      <c r="G477" s="13" t="s">
        <v>778</v>
      </c>
      <c r="H477" s="13">
        <v>233.86</v>
      </c>
      <c r="I477" s="13">
        <v>2</v>
      </c>
      <c r="J477" s="13">
        <v>0.45</v>
      </c>
      <c r="K477" s="21">
        <v>-102.048</v>
      </c>
    </row>
    <row r="478" spans="1:11" x14ac:dyDescent="0.3">
      <c r="A478" s="20" t="s">
        <v>776</v>
      </c>
      <c r="B478" s="14">
        <v>42832</v>
      </c>
      <c r="C478" s="14" t="str">
        <f t="shared" si="7"/>
        <v>Apr</v>
      </c>
      <c r="D478" s="13" t="s">
        <v>44</v>
      </c>
      <c r="E478" s="13" t="s">
        <v>777</v>
      </c>
      <c r="F478" s="13" t="s">
        <v>18</v>
      </c>
      <c r="G478" s="13" t="s">
        <v>779</v>
      </c>
      <c r="H478" s="13">
        <v>620.61450000000002</v>
      </c>
      <c r="I478" s="13">
        <v>3</v>
      </c>
      <c r="J478" s="13">
        <v>0.45</v>
      </c>
      <c r="K478" s="21">
        <v>-248.2458</v>
      </c>
    </row>
    <row r="479" spans="1:11" x14ac:dyDescent="0.3">
      <c r="A479" s="20" t="s">
        <v>776</v>
      </c>
      <c r="B479" s="14">
        <v>42832</v>
      </c>
      <c r="C479" s="14" t="str">
        <f t="shared" si="7"/>
        <v>Apr</v>
      </c>
      <c r="D479" s="13" t="s">
        <v>44</v>
      </c>
      <c r="E479" s="13" t="s">
        <v>777</v>
      </c>
      <c r="F479" s="13" t="s">
        <v>23</v>
      </c>
      <c r="G479" s="13" t="s">
        <v>703</v>
      </c>
      <c r="H479" s="13">
        <v>5.3280000000000003</v>
      </c>
      <c r="I479" s="13">
        <v>2</v>
      </c>
      <c r="J479" s="13">
        <v>0.7</v>
      </c>
      <c r="K479" s="21">
        <v>-3.552</v>
      </c>
    </row>
    <row r="480" spans="1:11" x14ac:dyDescent="0.3">
      <c r="A480" s="20" t="s">
        <v>776</v>
      </c>
      <c r="B480" s="14">
        <v>42832</v>
      </c>
      <c r="C480" s="14" t="str">
        <f t="shared" si="7"/>
        <v>Apr</v>
      </c>
      <c r="D480" s="13" t="s">
        <v>44</v>
      </c>
      <c r="E480" s="13" t="s">
        <v>777</v>
      </c>
      <c r="F480" s="13" t="s">
        <v>18</v>
      </c>
      <c r="G480" s="13" t="s">
        <v>780</v>
      </c>
      <c r="H480" s="13">
        <v>258.072</v>
      </c>
      <c r="I480" s="13">
        <v>3</v>
      </c>
      <c r="J480" s="13">
        <v>0.2</v>
      </c>
      <c r="K480" s="21">
        <v>0</v>
      </c>
    </row>
    <row r="481" spans="1:11" x14ac:dyDescent="0.3">
      <c r="A481" s="20" t="s">
        <v>776</v>
      </c>
      <c r="B481" s="14">
        <v>42832</v>
      </c>
      <c r="C481" s="14" t="str">
        <f t="shared" si="7"/>
        <v>Apr</v>
      </c>
      <c r="D481" s="13" t="s">
        <v>44</v>
      </c>
      <c r="E481" s="13" t="s">
        <v>777</v>
      </c>
      <c r="F481" s="13" t="s">
        <v>13</v>
      </c>
      <c r="G481" s="13" t="s">
        <v>462</v>
      </c>
      <c r="H481" s="13">
        <v>617.976</v>
      </c>
      <c r="I481" s="13">
        <v>3</v>
      </c>
      <c r="J481" s="13">
        <v>0.2</v>
      </c>
      <c r="K481" s="21">
        <v>-7.7247000000000003</v>
      </c>
    </row>
    <row r="482" spans="1:11" x14ac:dyDescent="0.3">
      <c r="A482" s="20" t="s">
        <v>781</v>
      </c>
      <c r="B482" s="14">
        <v>43044</v>
      </c>
      <c r="C482" s="14" t="str">
        <f t="shared" si="7"/>
        <v>Nov</v>
      </c>
      <c r="D482" s="13" t="s">
        <v>16</v>
      </c>
      <c r="E482" s="13" t="s">
        <v>332</v>
      </c>
      <c r="F482" s="13" t="s">
        <v>23</v>
      </c>
      <c r="G482" s="13" t="s">
        <v>600</v>
      </c>
      <c r="H482" s="13">
        <v>2.3879999999999999</v>
      </c>
      <c r="I482" s="13">
        <v>2</v>
      </c>
      <c r="J482" s="13">
        <v>0.7</v>
      </c>
      <c r="K482" s="21">
        <v>-1.8308</v>
      </c>
    </row>
    <row r="483" spans="1:11" x14ac:dyDescent="0.3">
      <c r="A483" s="20" t="s">
        <v>781</v>
      </c>
      <c r="B483" s="14">
        <v>43044</v>
      </c>
      <c r="C483" s="14" t="str">
        <f t="shared" si="7"/>
        <v>Nov</v>
      </c>
      <c r="D483" s="13" t="s">
        <v>16</v>
      </c>
      <c r="E483" s="13" t="s">
        <v>332</v>
      </c>
      <c r="F483" s="13" t="s">
        <v>23</v>
      </c>
      <c r="G483" s="13" t="s">
        <v>167</v>
      </c>
      <c r="H483" s="13">
        <v>243.99199999999999</v>
      </c>
      <c r="I483" s="13">
        <v>7</v>
      </c>
      <c r="J483" s="13">
        <v>0.2</v>
      </c>
      <c r="K483" s="21">
        <v>30.498999999999999</v>
      </c>
    </row>
    <row r="484" spans="1:11" x14ac:dyDescent="0.3">
      <c r="A484" s="20" t="s">
        <v>782</v>
      </c>
      <c r="B484" s="14">
        <v>43045</v>
      </c>
      <c r="C484" s="14" t="str">
        <f t="shared" si="7"/>
        <v>Nov</v>
      </c>
      <c r="D484" s="13" t="s">
        <v>16</v>
      </c>
      <c r="E484" s="13" t="s">
        <v>238</v>
      </c>
      <c r="F484" s="13" t="s">
        <v>23</v>
      </c>
      <c r="G484" s="13" t="s">
        <v>783</v>
      </c>
      <c r="H484" s="13">
        <v>5.6820000000000004</v>
      </c>
      <c r="I484" s="13">
        <v>1</v>
      </c>
      <c r="J484" s="13">
        <v>0.7</v>
      </c>
      <c r="K484" s="21">
        <v>-3.7879999999999998</v>
      </c>
    </row>
    <row r="485" spans="1:11" x14ac:dyDescent="0.3">
      <c r="A485" s="20" t="s">
        <v>784</v>
      </c>
      <c r="B485" s="14">
        <v>43086</v>
      </c>
      <c r="C485" s="14" t="str">
        <f t="shared" si="7"/>
        <v>Dec</v>
      </c>
      <c r="D485" s="13" t="s">
        <v>21</v>
      </c>
      <c r="E485" s="13" t="s">
        <v>180</v>
      </c>
      <c r="F485" s="13" t="s">
        <v>23</v>
      </c>
      <c r="G485" s="13" t="s">
        <v>785</v>
      </c>
      <c r="H485" s="13">
        <v>66.284000000000006</v>
      </c>
      <c r="I485" s="13">
        <v>2</v>
      </c>
      <c r="J485" s="13">
        <v>0.8</v>
      </c>
      <c r="K485" s="21">
        <v>-178.96680000000001</v>
      </c>
    </row>
    <row r="486" spans="1:11" x14ac:dyDescent="0.3">
      <c r="A486" s="20" t="s">
        <v>786</v>
      </c>
      <c r="B486" s="14">
        <v>43078</v>
      </c>
      <c r="C486" s="14" t="str">
        <f t="shared" si="7"/>
        <v>Dec</v>
      </c>
      <c r="D486" s="13" t="s">
        <v>21</v>
      </c>
      <c r="E486" s="13" t="s">
        <v>206</v>
      </c>
      <c r="F486" s="13" t="s">
        <v>23</v>
      </c>
      <c r="G486" s="13" t="s">
        <v>787</v>
      </c>
      <c r="H486" s="13">
        <v>1.248</v>
      </c>
      <c r="I486" s="13">
        <v>3</v>
      </c>
      <c r="J486" s="13">
        <v>0.8</v>
      </c>
      <c r="K486" s="21">
        <v>-1.9343999999999999</v>
      </c>
    </row>
    <row r="487" spans="1:11" x14ac:dyDescent="0.3">
      <c r="A487" s="20" t="s">
        <v>786</v>
      </c>
      <c r="B487" s="14">
        <v>43078</v>
      </c>
      <c r="C487" s="14" t="str">
        <f t="shared" si="7"/>
        <v>Dec</v>
      </c>
      <c r="D487" s="13" t="s">
        <v>21</v>
      </c>
      <c r="E487" s="13" t="s">
        <v>206</v>
      </c>
      <c r="F487" s="13" t="s">
        <v>18</v>
      </c>
      <c r="G487" s="13" t="s">
        <v>788</v>
      </c>
      <c r="H487" s="13">
        <v>9.7080000000000002</v>
      </c>
      <c r="I487" s="13">
        <v>3</v>
      </c>
      <c r="J487" s="13">
        <v>0.6</v>
      </c>
      <c r="K487" s="21">
        <v>-5.8247999999999998</v>
      </c>
    </row>
    <row r="488" spans="1:11" x14ac:dyDescent="0.3">
      <c r="A488" s="20" t="s">
        <v>786</v>
      </c>
      <c r="B488" s="14">
        <v>43078</v>
      </c>
      <c r="C488" s="14" t="str">
        <f t="shared" si="7"/>
        <v>Dec</v>
      </c>
      <c r="D488" s="13" t="s">
        <v>21</v>
      </c>
      <c r="E488" s="13" t="s">
        <v>206</v>
      </c>
      <c r="F488" s="13" t="s">
        <v>23</v>
      </c>
      <c r="G488" s="13" t="s">
        <v>789</v>
      </c>
      <c r="H488" s="13">
        <v>27.24</v>
      </c>
      <c r="I488" s="13">
        <v>3</v>
      </c>
      <c r="J488" s="13">
        <v>0.2</v>
      </c>
      <c r="K488" s="21">
        <v>2.7240000000000002</v>
      </c>
    </row>
    <row r="489" spans="1:11" x14ac:dyDescent="0.3">
      <c r="A489" s="20" t="s">
        <v>790</v>
      </c>
      <c r="B489" s="14">
        <v>43052</v>
      </c>
      <c r="C489" s="14" t="str">
        <f t="shared" si="7"/>
        <v>Nov</v>
      </c>
      <c r="D489" s="13" t="s">
        <v>21</v>
      </c>
      <c r="E489" s="13" t="s">
        <v>147</v>
      </c>
      <c r="F489" s="13" t="s">
        <v>23</v>
      </c>
      <c r="G489" s="13" t="s">
        <v>198</v>
      </c>
      <c r="H489" s="13">
        <v>230.376</v>
      </c>
      <c r="I489" s="13">
        <v>3</v>
      </c>
      <c r="J489" s="13">
        <v>0.2</v>
      </c>
      <c r="K489" s="21">
        <v>-48.954900000000002</v>
      </c>
    </row>
    <row r="490" spans="1:11" x14ac:dyDescent="0.3">
      <c r="A490" s="20" t="s">
        <v>791</v>
      </c>
      <c r="B490" s="14">
        <v>42922</v>
      </c>
      <c r="C490" s="14" t="str">
        <f t="shared" si="7"/>
        <v>Jul</v>
      </c>
      <c r="D490" s="13" t="s">
        <v>11</v>
      </c>
      <c r="E490" s="13" t="s">
        <v>77</v>
      </c>
      <c r="F490" s="13" t="s">
        <v>23</v>
      </c>
      <c r="G490" s="13" t="s">
        <v>792</v>
      </c>
      <c r="H490" s="13">
        <v>2.9460000000000002</v>
      </c>
      <c r="I490" s="13">
        <v>2</v>
      </c>
      <c r="J490" s="13">
        <v>0.7</v>
      </c>
      <c r="K490" s="21">
        <v>-2.2585999999999999</v>
      </c>
    </row>
    <row r="491" spans="1:11" x14ac:dyDescent="0.3">
      <c r="A491" s="20" t="s">
        <v>791</v>
      </c>
      <c r="B491" s="14">
        <v>42922</v>
      </c>
      <c r="C491" s="14" t="str">
        <f t="shared" si="7"/>
        <v>Jul</v>
      </c>
      <c r="D491" s="13" t="s">
        <v>11</v>
      </c>
      <c r="E491" s="13" t="s">
        <v>77</v>
      </c>
      <c r="F491" s="13" t="s">
        <v>23</v>
      </c>
      <c r="G491" s="13" t="s">
        <v>793</v>
      </c>
      <c r="H491" s="13">
        <v>16.056000000000001</v>
      </c>
      <c r="I491" s="13">
        <v>3</v>
      </c>
      <c r="J491" s="13">
        <v>0.2</v>
      </c>
      <c r="K491" s="21">
        <v>5.8202999999999996</v>
      </c>
    </row>
    <row r="492" spans="1:11" x14ac:dyDescent="0.3">
      <c r="A492" s="20" t="s">
        <v>794</v>
      </c>
      <c r="B492" s="14">
        <v>42974</v>
      </c>
      <c r="C492" s="14" t="str">
        <f t="shared" si="7"/>
        <v>Aug</v>
      </c>
      <c r="D492" s="13" t="s">
        <v>11</v>
      </c>
      <c r="E492" s="13" t="s">
        <v>369</v>
      </c>
      <c r="F492" s="13" t="s">
        <v>18</v>
      </c>
      <c r="G492" s="13" t="s">
        <v>795</v>
      </c>
      <c r="H492" s="13">
        <v>1488.424</v>
      </c>
      <c r="I492" s="13">
        <v>7</v>
      </c>
      <c r="J492" s="13">
        <v>0.3</v>
      </c>
      <c r="K492" s="21">
        <v>-297.6848</v>
      </c>
    </row>
    <row r="493" spans="1:11" x14ac:dyDescent="0.3">
      <c r="A493" s="20" t="s">
        <v>796</v>
      </c>
      <c r="B493" s="14">
        <v>43078</v>
      </c>
      <c r="C493" s="14" t="str">
        <f t="shared" si="7"/>
        <v>Dec</v>
      </c>
      <c r="D493" s="13" t="s">
        <v>11</v>
      </c>
      <c r="E493" s="13" t="s">
        <v>67</v>
      </c>
      <c r="F493" s="13" t="s">
        <v>23</v>
      </c>
      <c r="G493" s="13" t="s">
        <v>797</v>
      </c>
      <c r="H493" s="13">
        <v>37.207999999999998</v>
      </c>
      <c r="I493" s="13">
        <v>1</v>
      </c>
      <c r="J493" s="13">
        <v>0.2</v>
      </c>
      <c r="K493" s="21">
        <v>-7.4416000000000002</v>
      </c>
    </row>
    <row r="494" spans="1:11" x14ac:dyDescent="0.3">
      <c r="A494" s="20" t="s">
        <v>796</v>
      </c>
      <c r="B494" s="14">
        <v>43078</v>
      </c>
      <c r="C494" s="14" t="str">
        <f t="shared" si="7"/>
        <v>Dec</v>
      </c>
      <c r="D494" s="13" t="s">
        <v>11</v>
      </c>
      <c r="E494" s="13" t="s">
        <v>67</v>
      </c>
      <c r="F494" s="13" t="s">
        <v>23</v>
      </c>
      <c r="G494" s="13" t="s">
        <v>798</v>
      </c>
      <c r="H494" s="13">
        <v>57.576000000000001</v>
      </c>
      <c r="I494" s="13">
        <v>3</v>
      </c>
      <c r="J494" s="13">
        <v>0.2</v>
      </c>
      <c r="K494" s="21">
        <v>21.591000000000001</v>
      </c>
    </row>
    <row r="495" spans="1:11" x14ac:dyDescent="0.3">
      <c r="A495" s="20" t="s">
        <v>799</v>
      </c>
      <c r="B495" s="14">
        <v>42846</v>
      </c>
      <c r="C495" s="14" t="str">
        <f t="shared" si="7"/>
        <v>Apr</v>
      </c>
      <c r="D495" s="13" t="s">
        <v>21</v>
      </c>
      <c r="E495" s="13" t="s">
        <v>206</v>
      </c>
      <c r="F495" s="13" t="s">
        <v>23</v>
      </c>
      <c r="G495" s="13" t="s">
        <v>360</v>
      </c>
      <c r="H495" s="13">
        <v>97.263999999999996</v>
      </c>
      <c r="I495" s="13">
        <v>4</v>
      </c>
      <c r="J495" s="13">
        <v>0.8</v>
      </c>
      <c r="K495" s="21">
        <v>-243.16</v>
      </c>
    </row>
    <row r="496" spans="1:11" x14ac:dyDescent="0.3">
      <c r="A496" s="20" t="s">
        <v>800</v>
      </c>
      <c r="B496" s="14">
        <v>43058</v>
      </c>
      <c r="C496" s="14" t="str">
        <f t="shared" si="7"/>
        <v>Nov</v>
      </c>
      <c r="D496" s="13" t="s">
        <v>21</v>
      </c>
      <c r="E496" s="13" t="s">
        <v>147</v>
      </c>
      <c r="F496" s="13" t="s">
        <v>18</v>
      </c>
      <c r="G496" s="13" t="s">
        <v>801</v>
      </c>
      <c r="H496" s="13">
        <v>219.07499999999999</v>
      </c>
      <c r="I496" s="13">
        <v>3</v>
      </c>
      <c r="J496" s="13">
        <v>0.5</v>
      </c>
      <c r="K496" s="21">
        <v>-131.44499999999999</v>
      </c>
    </row>
    <row r="497" spans="1:11" x14ac:dyDescent="0.3">
      <c r="A497" s="20" t="s">
        <v>802</v>
      </c>
      <c r="B497" s="14">
        <v>42894</v>
      </c>
      <c r="C497" s="14" t="str">
        <f t="shared" si="7"/>
        <v>Jun</v>
      </c>
      <c r="D497" s="13" t="s">
        <v>21</v>
      </c>
      <c r="E497" s="13" t="s">
        <v>197</v>
      </c>
      <c r="F497" s="13" t="s">
        <v>23</v>
      </c>
      <c r="G497" s="13" t="s">
        <v>803</v>
      </c>
      <c r="H497" s="13">
        <v>1.6240000000000001</v>
      </c>
      <c r="I497" s="13">
        <v>2</v>
      </c>
      <c r="J497" s="13">
        <v>0.8</v>
      </c>
      <c r="K497" s="21">
        <v>-4.4660000000000002</v>
      </c>
    </row>
    <row r="498" spans="1:11" x14ac:dyDescent="0.3">
      <c r="A498" s="20" t="s">
        <v>804</v>
      </c>
      <c r="B498" s="14">
        <v>42932</v>
      </c>
      <c r="C498" s="14" t="str">
        <f t="shared" si="7"/>
        <v>Jul</v>
      </c>
      <c r="D498" s="13" t="s">
        <v>11</v>
      </c>
      <c r="E498" s="13" t="s">
        <v>77</v>
      </c>
      <c r="F498" s="13" t="s">
        <v>18</v>
      </c>
      <c r="G498" s="13" t="s">
        <v>805</v>
      </c>
      <c r="H498" s="13">
        <v>71.372</v>
      </c>
      <c r="I498" s="13">
        <v>2</v>
      </c>
      <c r="J498" s="13">
        <v>0.3</v>
      </c>
      <c r="K498" s="21">
        <v>-1.0196000000000001</v>
      </c>
    </row>
    <row r="499" spans="1:11" x14ac:dyDescent="0.3">
      <c r="A499" s="20" t="s">
        <v>806</v>
      </c>
      <c r="B499" s="14">
        <v>42768</v>
      </c>
      <c r="C499" s="14" t="str">
        <f t="shared" si="7"/>
        <v>Feb</v>
      </c>
      <c r="D499" s="13" t="s">
        <v>11</v>
      </c>
      <c r="E499" s="13" t="s">
        <v>52</v>
      </c>
      <c r="F499" s="13" t="s">
        <v>13</v>
      </c>
      <c r="G499" s="13" t="s">
        <v>671</v>
      </c>
      <c r="H499" s="13">
        <v>59.97</v>
      </c>
      <c r="I499" s="13">
        <v>5</v>
      </c>
      <c r="J499" s="13">
        <v>0.4</v>
      </c>
      <c r="K499" s="21">
        <v>-11.994</v>
      </c>
    </row>
    <row r="500" spans="1:11" x14ac:dyDescent="0.3">
      <c r="A500" s="20" t="s">
        <v>806</v>
      </c>
      <c r="B500" s="14">
        <v>42768</v>
      </c>
      <c r="C500" s="14" t="str">
        <f t="shared" si="7"/>
        <v>Feb</v>
      </c>
      <c r="D500" s="13" t="s">
        <v>11</v>
      </c>
      <c r="E500" s="13" t="s">
        <v>52</v>
      </c>
      <c r="F500" s="13" t="s">
        <v>23</v>
      </c>
      <c r="G500" s="13" t="s">
        <v>807</v>
      </c>
      <c r="H500" s="13">
        <v>78.304000000000002</v>
      </c>
      <c r="I500" s="13">
        <v>2</v>
      </c>
      <c r="J500" s="13">
        <v>0.2</v>
      </c>
      <c r="K500" s="21">
        <v>29.364000000000001</v>
      </c>
    </row>
    <row r="501" spans="1:11" x14ac:dyDescent="0.3">
      <c r="A501" s="20" t="s">
        <v>806</v>
      </c>
      <c r="B501" s="14">
        <v>42768</v>
      </c>
      <c r="C501" s="14" t="str">
        <f t="shared" si="7"/>
        <v>Feb</v>
      </c>
      <c r="D501" s="13" t="s">
        <v>11</v>
      </c>
      <c r="E501" s="13" t="s">
        <v>52</v>
      </c>
      <c r="F501" s="13" t="s">
        <v>23</v>
      </c>
      <c r="G501" s="13" t="s">
        <v>80</v>
      </c>
      <c r="H501" s="13">
        <v>21.456</v>
      </c>
      <c r="I501" s="13">
        <v>9</v>
      </c>
      <c r="J501" s="13">
        <v>0.2</v>
      </c>
      <c r="K501" s="21">
        <v>6.9732000000000003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7FA7C-7C49-4E7E-93DB-8A6B2169802A}">
  <dimension ref="A2:G506"/>
  <sheetViews>
    <sheetView showGridLines="0" workbookViewId="0">
      <selection activeCell="E5" sqref="E5"/>
    </sheetView>
  </sheetViews>
  <sheetFormatPr defaultRowHeight="14.4" x14ac:dyDescent="0.3"/>
  <cols>
    <col min="1" max="1" width="9" style="1" bestFit="1" customWidth="1"/>
    <col min="2" max="2" width="11.5546875" style="1" bestFit="1" customWidth="1"/>
    <col min="3" max="3" width="10.6640625" style="1" bestFit="1" customWidth="1"/>
    <col min="4" max="4" width="10.33203125" style="1" bestFit="1" customWidth="1"/>
    <col min="5" max="5" width="13.88671875" bestFit="1" customWidth="1"/>
  </cols>
  <sheetData>
    <row r="2" spans="1:6" x14ac:dyDescent="0.3">
      <c r="A2" s="31" t="s">
        <v>812</v>
      </c>
      <c r="B2" s="32"/>
      <c r="C2" s="32"/>
      <c r="D2" s="32"/>
      <c r="E2" s="32"/>
      <c r="F2" s="32"/>
    </row>
    <row r="4" spans="1:6" ht="18" x14ac:dyDescent="0.35">
      <c r="A4" s="29" t="s">
        <v>6</v>
      </c>
      <c r="B4" s="30"/>
      <c r="C4" s="43" t="s">
        <v>9</v>
      </c>
      <c r="D4" s="38" t="s">
        <v>7</v>
      </c>
      <c r="E4" s="42" t="s">
        <v>835</v>
      </c>
    </row>
    <row r="5" spans="1:6" x14ac:dyDescent="0.3">
      <c r="A5" s="9">
        <v>69.989999999999995</v>
      </c>
      <c r="B5" s="9"/>
      <c r="C5" s="9">
        <v>30.095700000000001</v>
      </c>
      <c r="D5" s="39">
        <v>1</v>
      </c>
      <c r="E5" s="13">
        <f>(C5/A5)</f>
        <v>0.43000000000000005</v>
      </c>
    </row>
    <row r="6" spans="1:6" x14ac:dyDescent="0.3">
      <c r="A6" s="9">
        <v>457.56799999999998</v>
      </c>
      <c r="B6" s="9"/>
      <c r="C6" s="9">
        <v>51.476399999999998</v>
      </c>
      <c r="D6" s="39">
        <v>2</v>
      </c>
      <c r="E6" s="13">
        <f t="shared" ref="E6:E69" si="0">(C6/A6)</f>
        <v>0.1125</v>
      </c>
      <c r="F6" s="10"/>
    </row>
    <row r="7" spans="1:6" x14ac:dyDescent="0.3">
      <c r="A7" s="9">
        <v>665.88</v>
      </c>
      <c r="B7" s="9"/>
      <c r="C7" s="9">
        <v>13.317600000000001</v>
      </c>
      <c r="D7" s="39">
        <v>6</v>
      </c>
      <c r="E7" s="13">
        <f t="shared" si="0"/>
        <v>0.02</v>
      </c>
    </row>
    <row r="8" spans="1:6" x14ac:dyDescent="0.3">
      <c r="A8" s="9">
        <v>1113.0239999999999</v>
      </c>
      <c r="B8" s="9"/>
      <c r="C8" s="9">
        <v>111.30240000000001</v>
      </c>
      <c r="D8" s="39">
        <v>8</v>
      </c>
      <c r="E8" s="13">
        <f t="shared" si="0"/>
        <v>0.10000000000000002</v>
      </c>
    </row>
    <row r="9" spans="1:6" x14ac:dyDescent="0.3">
      <c r="A9" s="9">
        <v>167.96799999999999</v>
      </c>
      <c r="B9" s="9"/>
      <c r="C9" s="9">
        <v>62.988</v>
      </c>
      <c r="D9" s="39">
        <v>4</v>
      </c>
      <c r="E9" s="13">
        <f t="shared" si="0"/>
        <v>0.375</v>
      </c>
    </row>
    <row r="10" spans="1:6" x14ac:dyDescent="0.3">
      <c r="A10" s="9">
        <v>93.888000000000005</v>
      </c>
      <c r="B10" s="9"/>
      <c r="C10" s="9">
        <v>12.909599999999999</v>
      </c>
      <c r="D10" s="39">
        <v>4</v>
      </c>
      <c r="E10" s="13">
        <f t="shared" si="0"/>
        <v>0.13749999999999998</v>
      </c>
    </row>
    <row r="11" spans="1:6" x14ac:dyDescent="0.3">
      <c r="A11" s="9">
        <v>45.48</v>
      </c>
      <c r="B11" s="9"/>
      <c r="C11" s="9">
        <v>20.9208</v>
      </c>
      <c r="D11" s="39">
        <v>3</v>
      </c>
      <c r="E11" s="13">
        <f t="shared" si="0"/>
        <v>0.46</v>
      </c>
    </row>
    <row r="12" spans="1:6" x14ac:dyDescent="0.3">
      <c r="A12" s="9">
        <v>289.2</v>
      </c>
      <c r="B12" s="9"/>
      <c r="C12" s="9">
        <v>83.867999999999995</v>
      </c>
      <c r="D12" s="39">
        <v>6</v>
      </c>
      <c r="E12" s="13">
        <f t="shared" si="0"/>
        <v>0.28999999999999998</v>
      </c>
    </row>
    <row r="13" spans="1:6" x14ac:dyDescent="0.3">
      <c r="A13" s="9">
        <v>300.416</v>
      </c>
      <c r="B13" s="9"/>
      <c r="C13" s="9">
        <v>78.859200000000001</v>
      </c>
      <c r="D13" s="39">
        <v>8</v>
      </c>
      <c r="E13" s="13">
        <f t="shared" si="0"/>
        <v>0.26250000000000001</v>
      </c>
    </row>
    <row r="14" spans="1:6" x14ac:dyDescent="0.3">
      <c r="A14" s="9">
        <v>230.352</v>
      </c>
      <c r="B14" s="9"/>
      <c r="C14" s="9">
        <v>20.155799999999999</v>
      </c>
      <c r="D14" s="39">
        <v>3</v>
      </c>
      <c r="E14" s="13">
        <f t="shared" si="0"/>
        <v>8.7499999999999994E-2</v>
      </c>
    </row>
    <row r="15" spans="1:6" x14ac:dyDescent="0.3">
      <c r="A15" s="9">
        <v>218.352</v>
      </c>
      <c r="B15" s="9"/>
      <c r="C15" s="9">
        <v>-24.564599999999999</v>
      </c>
      <c r="D15" s="39">
        <v>3</v>
      </c>
      <c r="E15" s="13">
        <f t="shared" si="0"/>
        <v>-0.11249999999999999</v>
      </c>
    </row>
    <row r="16" spans="1:6" x14ac:dyDescent="0.3">
      <c r="A16" s="9">
        <v>78.599999999999994</v>
      </c>
      <c r="B16" s="9"/>
      <c r="C16" s="9">
        <v>-62.88</v>
      </c>
      <c r="D16" s="39">
        <v>5</v>
      </c>
      <c r="E16" s="13">
        <f t="shared" si="0"/>
        <v>-0.8</v>
      </c>
    </row>
    <row r="17" spans="1:5" x14ac:dyDescent="0.3">
      <c r="A17" s="9">
        <v>27.552</v>
      </c>
      <c r="B17" s="9"/>
      <c r="C17" s="9">
        <v>9.2988</v>
      </c>
      <c r="D17" s="39">
        <v>3</v>
      </c>
      <c r="E17" s="13">
        <f t="shared" si="0"/>
        <v>0.33750000000000002</v>
      </c>
    </row>
    <row r="18" spans="1:5" x14ac:dyDescent="0.3">
      <c r="A18" s="9">
        <v>9.5679999999999996</v>
      </c>
      <c r="B18" s="9"/>
      <c r="C18" s="9">
        <v>3.4683999999999999</v>
      </c>
      <c r="D18" s="39">
        <v>2</v>
      </c>
      <c r="E18" s="13">
        <f t="shared" si="0"/>
        <v>0.36249999999999999</v>
      </c>
    </row>
    <row r="19" spans="1:5" x14ac:dyDescent="0.3">
      <c r="A19" s="9">
        <v>449.15</v>
      </c>
      <c r="B19" s="9"/>
      <c r="C19" s="9">
        <v>8.9830000000000005</v>
      </c>
      <c r="D19" s="39">
        <v>5</v>
      </c>
      <c r="E19" s="13">
        <f t="shared" si="0"/>
        <v>2.0000000000000004E-2</v>
      </c>
    </row>
    <row r="20" spans="1:5" x14ac:dyDescent="0.3">
      <c r="A20" s="9">
        <v>11.07</v>
      </c>
      <c r="B20" s="9"/>
      <c r="C20" s="9">
        <v>5.0922000000000001</v>
      </c>
      <c r="D20" s="39">
        <v>3</v>
      </c>
      <c r="E20" s="13">
        <f t="shared" si="0"/>
        <v>0.46</v>
      </c>
    </row>
    <row r="21" spans="1:5" x14ac:dyDescent="0.3">
      <c r="A21" s="9">
        <v>40.095999999999997</v>
      </c>
      <c r="B21" s="9"/>
      <c r="C21" s="9">
        <v>14.534800000000001</v>
      </c>
      <c r="D21" s="39">
        <v>14</v>
      </c>
      <c r="E21" s="13">
        <f t="shared" si="0"/>
        <v>0.36250000000000004</v>
      </c>
    </row>
    <row r="22" spans="1:5" x14ac:dyDescent="0.3">
      <c r="A22" s="9">
        <v>4.72</v>
      </c>
      <c r="B22" s="9"/>
      <c r="C22" s="9">
        <v>1.6519999999999999</v>
      </c>
      <c r="D22" s="39">
        <v>2</v>
      </c>
      <c r="E22" s="13">
        <f t="shared" si="0"/>
        <v>0.35</v>
      </c>
    </row>
    <row r="23" spans="1:5" x14ac:dyDescent="0.3">
      <c r="A23" s="9">
        <v>23.975999999999999</v>
      </c>
      <c r="B23" s="9"/>
      <c r="C23" s="9">
        <v>7.4924999999999997</v>
      </c>
      <c r="D23" s="39">
        <v>3</v>
      </c>
      <c r="E23" s="13">
        <f t="shared" si="0"/>
        <v>0.3125</v>
      </c>
    </row>
    <row r="24" spans="1:5" x14ac:dyDescent="0.3">
      <c r="A24" s="9">
        <v>130.464</v>
      </c>
      <c r="B24" s="9"/>
      <c r="C24" s="9">
        <v>44.031599999999997</v>
      </c>
      <c r="D24" s="39">
        <v>6</v>
      </c>
      <c r="E24" s="13">
        <f t="shared" si="0"/>
        <v>0.33749999999999997</v>
      </c>
    </row>
    <row r="25" spans="1:5" x14ac:dyDescent="0.3">
      <c r="A25" s="9">
        <v>48.86</v>
      </c>
      <c r="B25" s="9"/>
      <c r="C25" s="9">
        <v>14.1694</v>
      </c>
      <c r="D25" s="39">
        <v>7</v>
      </c>
      <c r="E25" s="13">
        <f t="shared" si="0"/>
        <v>0.28999999999999998</v>
      </c>
    </row>
    <row r="26" spans="1:5" x14ac:dyDescent="0.3">
      <c r="A26" s="9">
        <v>7.28</v>
      </c>
      <c r="B26" s="9"/>
      <c r="C26" s="9">
        <v>1.9656</v>
      </c>
      <c r="D26" s="39">
        <v>4</v>
      </c>
      <c r="E26" s="13">
        <f t="shared" si="0"/>
        <v>0.27</v>
      </c>
    </row>
    <row r="27" spans="1:5" x14ac:dyDescent="0.3">
      <c r="A27" s="9">
        <v>907.15200000000004</v>
      </c>
      <c r="B27" s="9"/>
      <c r="C27" s="9">
        <v>90.715199999999996</v>
      </c>
      <c r="D27" s="39">
        <v>6</v>
      </c>
      <c r="E27" s="13">
        <f t="shared" si="0"/>
        <v>9.9999999999999992E-2</v>
      </c>
    </row>
    <row r="28" spans="1:5" x14ac:dyDescent="0.3">
      <c r="A28" s="9">
        <v>18.504000000000001</v>
      </c>
      <c r="B28" s="9"/>
      <c r="C28" s="9">
        <v>5.7824999999999998</v>
      </c>
      <c r="D28" s="39">
        <v>3</v>
      </c>
      <c r="E28" s="13">
        <f t="shared" si="0"/>
        <v>0.31249999999999994</v>
      </c>
    </row>
    <row r="29" spans="1:5" x14ac:dyDescent="0.3">
      <c r="A29" s="9">
        <v>114.9</v>
      </c>
      <c r="B29" s="9"/>
      <c r="C29" s="9">
        <v>34.47</v>
      </c>
      <c r="D29" s="39">
        <v>5</v>
      </c>
      <c r="E29" s="13">
        <f t="shared" si="0"/>
        <v>0.3</v>
      </c>
    </row>
    <row r="30" spans="1:5" x14ac:dyDescent="0.3">
      <c r="A30" s="9">
        <v>1706.184</v>
      </c>
      <c r="B30" s="9"/>
      <c r="C30" s="9">
        <v>85.309200000000004</v>
      </c>
      <c r="D30" s="39">
        <v>9</v>
      </c>
      <c r="E30" s="13">
        <f t="shared" si="0"/>
        <v>0.05</v>
      </c>
    </row>
    <row r="31" spans="1:5" x14ac:dyDescent="0.3">
      <c r="A31" s="9">
        <v>911.42399999999998</v>
      </c>
      <c r="B31" s="9"/>
      <c r="C31" s="9">
        <v>68.356800000000007</v>
      </c>
      <c r="D31" s="39">
        <v>4</v>
      </c>
      <c r="E31" s="13">
        <f t="shared" si="0"/>
        <v>7.5000000000000011E-2</v>
      </c>
    </row>
    <row r="32" spans="1:5" x14ac:dyDescent="0.3">
      <c r="A32" s="9">
        <v>2.6240000000000001</v>
      </c>
      <c r="B32" s="9"/>
      <c r="C32" s="9">
        <v>0.4264</v>
      </c>
      <c r="D32" s="39">
        <v>1</v>
      </c>
      <c r="E32" s="13">
        <f t="shared" si="0"/>
        <v>0.16250000000000001</v>
      </c>
    </row>
    <row r="33" spans="1:5" x14ac:dyDescent="0.3">
      <c r="A33" s="9">
        <v>20.94</v>
      </c>
      <c r="B33" s="9"/>
      <c r="C33" s="9">
        <v>9.8417999999999992</v>
      </c>
      <c r="D33" s="39">
        <v>3</v>
      </c>
      <c r="E33" s="13">
        <f t="shared" si="0"/>
        <v>0.46999999999999992</v>
      </c>
    </row>
    <row r="34" spans="1:5" x14ac:dyDescent="0.3">
      <c r="A34" s="9">
        <v>110.96</v>
      </c>
      <c r="B34" s="9"/>
      <c r="C34" s="9">
        <v>53.260800000000003</v>
      </c>
      <c r="D34" s="39">
        <v>2</v>
      </c>
      <c r="E34" s="13">
        <f t="shared" si="0"/>
        <v>0.48000000000000004</v>
      </c>
    </row>
    <row r="35" spans="1:5" x14ac:dyDescent="0.3">
      <c r="A35" s="9">
        <v>340.14400000000001</v>
      </c>
      <c r="B35" s="9"/>
      <c r="C35" s="9">
        <v>21.259</v>
      </c>
      <c r="D35" s="39">
        <v>7</v>
      </c>
      <c r="E35" s="13">
        <f t="shared" si="0"/>
        <v>6.25E-2</v>
      </c>
    </row>
    <row r="36" spans="1:5" x14ac:dyDescent="0.3">
      <c r="A36" s="9">
        <v>87.54</v>
      </c>
      <c r="B36" s="9"/>
      <c r="C36" s="9">
        <v>37.642200000000003</v>
      </c>
      <c r="D36" s="39">
        <v>3</v>
      </c>
      <c r="E36" s="13">
        <f t="shared" si="0"/>
        <v>0.43</v>
      </c>
    </row>
    <row r="37" spans="1:5" x14ac:dyDescent="0.3">
      <c r="A37" s="9">
        <v>17.856000000000002</v>
      </c>
      <c r="B37" s="9"/>
      <c r="C37" s="9">
        <v>1.1160000000000001</v>
      </c>
      <c r="D37" s="39">
        <v>4</v>
      </c>
      <c r="E37" s="13">
        <f t="shared" si="0"/>
        <v>6.25E-2</v>
      </c>
    </row>
    <row r="38" spans="1:5" x14ac:dyDescent="0.3">
      <c r="A38" s="9">
        <v>509.97</v>
      </c>
      <c r="B38" s="9"/>
      <c r="C38" s="9">
        <v>-407.976</v>
      </c>
      <c r="D38" s="39">
        <v>10</v>
      </c>
      <c r="E38" s="13">
        <f t="shared" si="0"/>
        <v>-0.79999999999999993</v>
      </c>
    </row>
    <row r="39" spans="1:5" x14ac:dyDescent="0.3">
      <c r="A39" s="9">
        <v>30.992000000000001</v>
      </c>
      <c r="B39" s="9"/>
      <c r="C39" s="9">
        <v>10.0724</v>
      </c>
      <c r="D39" s="39">
        <v>13</v>
      </c>
      <c r="E39" s="13">
        <f t="shared" si="0"/>
        <v>0.32500000000000001</v>
      </c>
    </row>
    <row r="40" spans="1:5" x14ac:dyDescent="0.3">
      <c r="A40" s="9">
        <v>71.927999999999997</v>
      </c>
      <c r="B40" s="9"/>
      <c r="C40" s="9">
        <v>8.3916000000000004</v>
      </c>
      <c r="D40" s="39">
        <v>12</v>
      </c>
      <c r="E40" s="13">
        <f t="shared" si="0"/>
        <v>0.11666666666666668</v>
      </c>
    </row>
    <row r="41" spans="1:5" x14ac:dyDescent="0.3">
      <c r="A41" s="9">
        <v>176.8</v>
      </c>
      <c r="B41" s="9"/>
      <c r="C41" s="9">
        <v>22.984000000000002</v>
      </c>
      <c r="D41" s="39">
        <v>8</v>
      </c>
      <c r="E41" s="13">
        <f t="shared" si="0"/>
        <v>0.13</v>
      </c>
    </row>
    <row r="42" spans="1:5" x14ac:dyDescent="0.3">
      <c r="A42" s="9">
        <v>211.96</v>
      </c>
      <c r="B42" s="9"/>
      <c r="C42" s="9">
        <v>8.4784000000000006</v>
      </c>
      <c r="D42" s="39">
        <v>4</v>
      </c>
      <c r="E42" s="13">
        <f t="shared" si="0"/>
        <v>0.04</v>
      </c>
    </row>
    <row r="43" spans="1:5" x14ac:dyDescent="0.3">
      <c r="A43" s="9">
        <v>5.96</v>
      </c>
      <c r="B43" s="9"/>
      <c r="C43" s="9">
        <v>1.6688000000000001</v>
      </c>
      <c r="D43" s="39">
        <v>2</v>
      </c>
      <c r="E43" s="13">
        <f t="shared" si="0"/>
        <v>0.28000000000000003</v>
      </c>
    </row>
    <row r="44" spans="1:5" x14ac:dyDescent="0.3">
      <c r="A44" s="9">
        <v>159.97999999999999</v>
      </c>
      <c r="B44" s="9"/>
      <c r="C44" s="9">
        <v>57.592799999999997</v>
      </c>
      <c r="D44" s="39">
        <v>2</v>
      </c>
      <c r="E44" s="13">
        <f t="shared" si="0"/>
        <v>0.36</v>
      </c>
    </row>
    <row r="45" spans="1:5" x14ac:dyDescent="0.3">
      <c r="A45" s="9">
        <v>7.7119999999999997</v>
      </c>
      <c r="B45" s="9"/>
      <c r="C45" s="9">
        <v>2.7955999999999999</v>
      </c>
      <c r="D45" s="39">
        <v>2</v>
      </c>
      <c r="E45" s="13">
        <f t="shared" si="0"/>
        <v>0.36249999999999999</v>
      </c>
    </row>
    <row r="46" spans="1:5" x14ac:dyDescent="0.3">
      <c r="A46" s="9">
        <v>698.35199999999998</v>
      </c>
      <c r="B46" s="9"/>
      <c r="C46" s="9">
        <v>-17.4588</v>
      </c>
      <c r="D46" s="39">
        <v>3</v>
      </c>
      <c r="E46" s="13">
        <f t="shared" si="0"/>
        <v>-2.5000000000000001E-2</v>
      </c>
    </row>
    <row r="47" spans="1:5" x14ac:dyDescent="0.3">
      <c r="A47" s="9">
        <v>9.84</v>
      </c>
      <c r="B47" s="9"/>
      <c r="C47" s="9">
        <v>2.8536000000000001</v>
      </c>
      <c r="D47" s="39">
        <v>3</v>
      </c>
      <c r="E47" s="13">
        <f t="shared" si="0"/>
        <v>0.29000000000000004</v>
      </c>
    </row>
    <row r="48" spans="1:5" x14ac:dyDescent="0.3">
      <c r="A48" s="9">
        <v>2001.86</v>
      </c>
      <c r="B48" s="9"/>
      <c r="C48" s="9">
        <v>580.5394</v>
      </c>
      <c r="D48" s="39">
        <v>7</v>
      </c>
      <c r="E48" s="13">
        <f t="shared" si="0"/>
        <v>0.29000000000000004</v>
      </c>
    </row>
    <row r="49" spans="1:5" x14ac:dyDescent="0.3">
      <c r="A49" s="9">
        <v>166.72</v>
      </c>
      <c r="B49" s="9"/>
      <c r="C49" s="9">
        <v>41.68</v>
      </c>
      <c r="D49" s="39">
        <v>2</v>
      </c>
      <c r="E49" s="13">
        <f t="shared" si="0"/>
        <v>0.25</v>
      </c>
    </row>
    <row r="50" spans="1:5" x14ac:dyDescent="0.3">
      <c r="A50" s="9">
        <v>47.88</v>
      </c>
      <c r="B50" s="9"/>
      <c r="C50" s="9">
        <v>23.94</v>
      </c>
      <c r="D50" s="39">
        <v>6</v>
      </c>
      <c r="E50" s="13">
        <f t="shared" si="0"/>
        <v>0.5</v>
      </c>
    </row>
    <row r="51" spans="1:5" x14ac:dyDescent="0.3">
      <c r="A51" s="9">
        <v>1503.25</v>
      </c>
      <c r="B51" s="9"/>
      <c r="C51" s="9">
        <v>496.07249999999999</v>
      </c>
      <c r="D51" s="39">
        <v>5</v>
      </c>
      <c r="E51" s="13">
        <f t="shared" si="0"/>
        <v>0.33</v>
      </c>
    </row>
    <row r="52" spans="1:5" x14ac:dyDescent="0.3">
      <c r="A52" s="9">
        <v>25.92</v>
      </c>
      <c r="B52" s="9"/>
      <c r="C52" s="9">
        <v>12.441599999999999</v>
      </c>
      <c r="D52" s="39">
        <v>4</v>
      </c>
      <c r="E52" s="13">
        <f t="shared" si="0"/>
        <v>0.47999999999999993</v>
      </c>
    </row>
    <row r="53" spans="1:5" x14ac:dyDescent="0.3">
      <c r="A53" s="9">
        <v>218.75</v>
      </c>
      <c r="B53" s="9"/>
      <c r="C53" s="9">
        <v>-161.875</v>
      </c>
      <c r="D53" s="39">
        <v>2</v>
      </c>
      <c r="E53" s="13">
        <f t="shared" si="0"/>
        <v>-0.74</v>
      </c>
    </row>
    <row r="54" spans="1:5" x14ac:dyDescent="0.3">
      <c r="A54" s="9">
        <v>2.6</v>
      </c>
      <c r="B54" s="9"/>
      <c r="C54" s="9">
        <v>0.29249999999999998</v>
      </c>
      <c r="D54" s="39">
        <v>1</v>
      </c>
      <c r="E54" s="13">
        <f t="shared" si="0"/>
        <v>0.11249999999999999</v>
      </c>
    </row>
    <row r="55" spans="1:5" x14ac:dyDescent="0.3">
      <c r="A55" s="9">
        <v>7.992</v>
      </c>
      <c r="B55" s="9"/>
      <c r="C55" s="9">
        <v>0.59940000000000004</v>
      </c>
      <c r="D55" s="39">
        <v>1</v>
      </c>
      <c r="E55" s="13">
        <f t="shared" si="0"/>
        <v>7.5000000000000011E-2</v>
      </c>
    </row>
    <row r="56" spans="1:5" x14ac:dyDescent="0.3">
      <c r="A56" s="9">
        <v>63.984000000000002</v>
      </c>
      <c r="B56" s="9"/>
      <c r="C56" s="9">
        <v>10.397399999999999</v>
      </c>
      <c r="D56" s="39">
        <v>2</v>
      </c>
      <c r="E56" s="13">
        <f t="shared" si="0"/>
        <v>0.16249999999999998</v>
      </c>
    </row>
    <row r="57" spans="1:5" x14ac:dyDescent="0.3">
      <c r="A57" s="9">
        <v>70.367999999999995</v>
      </c>
      <c r="B57" s="9"/>
      <c r="C57" s="9">
        <v>6.1571999999999996</v>
      </c>
      <c r="D57" s="39">
        <v>2</v>
      </c>
      <c r="E57" s="13">
        <f t="shared" si="0"/>
        <v>8.7499999999999994E-2</v>
      </c>
    </row>
    <row r="58" spans="1:5" x14ac:dyDescent="0.3">
      <c r="A58" s="9">
        <v>9.09</v>
      </c>
      <c r="B58" s="9"/>
      <c r="C58" s="9">
        <v>1.9089</v>
      </c>
      <c r="D58" s="39">
        <v>3</v>
      </c>
      <c r="E58" s="13">
        <f t="shared" si="0"/>
        <v>0.21000000000000002</v>
      </c>
    </row>
    <row r="59" spans="1:5" x14ac:dyDescent="0.3">
      <c r="A59" s="9">
        <v>14.9</v>
      </c>
      <c r="B59" s="9"/>
      <c r="C59" s="9">
        <v>4.1719999999999997</v>
      </c>
      <c r="D59" s="39">
        <v>5</v>
      </c>
      <c r="E59" s="13">
        <f t="shared" si="0"/>
        <v>0.27999999999999997</v>
      </c>
    </row>
    <row r="60" spans="1:5" x14ac:dyDescent="0.3">
      <c r="A60" s="9">
        <v>21.39</v>
      </c>
      <c r="B60" s="9"/>
      <c r="C60" s="9">
        <v>6.2031000000000001</v>
      </c>
      <c r="D60" s="39">
        <v>1</v>
      </c>
      <c r="E60" s="13">
        <f t="shared" si="0"/>
        <v>0.28999999999999998</v>
      </c>
    </row>
    <row r="61" spans="1:5" x14ac:dyDescent="0.3">
      <c r="A61" s="9">
        <v>9.9359999999999999</v>
      </c>
      <c r="B61" s="9"/>
      <c r="C61" s="9">
        <v>2.7324000000000002</v>
      </c>
      <c r="D61" s="39">
        <v>3</v>
      </c>
      <c r="E61" s="13">
        <f t="shared" si="0"/>
        <v>0.27500000000000002</v>
      </c>
    </row>
    <row r="62" spans="1:5" x14ac:dyDescent="0.3">
      <c r="A62" s="9">
        <v>8159.9520000000002</v>
      </c>
      <c r="B62" s="9"/>
      <c r="C62" s="9">
        <v>-1359.992</v>
      </c>
      <c r="D62" s="39">
        <v>8</v>
      </c>
      <c r="E62" s="13">
        <f t="shared" si="0"/>
        <v>-0.16666666666666666</v>
      </c>
    </row>
    <row r="63" spans="1:5" x14ac:dyDescent="0.3">
      <c r="A63" s="9">
        <v>275.928</v>
      </c>
      <c r="B63" s="9"/>
      <c r="C63" s="9">
        <v>-58.634700000000002</v>
      </c>
      <c r="D63" s="39">
        <v>3</v>
      </c>
      <c r="E63" s="13">
        <f t="shared" si="0"/>
        <v>-0.21250000000000002</v>
      </c>
    </row>
    <row r="64" spans="1:5" x14ac:dyDescent="0.3">
      <c r="A64" s="9">
        <v>1740.06</v>
      </c>
      <c r="B64" s="9"/>
      <c r="C64" s="9">
        <v>-24.858000000000001</v>
      </c>
      <c r="D64" s="39">
        <v>9</v>
      </c>
      <c r="E64" s="13">
        <f t="shared" si="0"/>
        <v>-1.4285714285714287E-2</v>
      </c>
    </row>
    <row r="65" spans="1:5" x14ac:dyDescent="0.3">
      <c r="A65" s="9">
        <v>32.064</v>
      </c>
      <c r="B65" s="9"/>
      <c r="C65" s="9">
        <v>6.8136000000000001</v>
      </c>
      <c r="D65" s="39">
        <v>6</v>
      </c>
      <c r="E65" s="13">
        <f t="shared" si="0"/>
        <v>0.21249999999999999</v>
      </c>
    </row>
    <row r="66" spans="1:5" x14ac:dyDescent="0.3">
      <c r="A66" s="9">
        <v>177.98</v>
      </c>
      <c r="B66" s="9"/>
      <c r="C66" s="9">
        <v>-453.84899999999999</v>
      </c>
      <c r="D66" s="39">
        <v>5</v>
      </c>
      <c r="E66" s="13">
        <f t="shared" si="0"/>
        <v>-2.5500000000000003</v>
      </c>
    </row>
    <row r="67" spans="1:5" x14ac:dyDescent="0.3">
      <c r="A67" s="9">
        <v>143.976</v>
      </c>
      <c r="B67" s="9"/>
      <c r="C67" s="9">
        <v>8.9984999999999999</v>
      </c>
      <c r="D67" s="39">
        <v>3</v>
      </c>
      <c r="E67" s="13">
        <f t="shared" si="0"/>
        <v>6.25E-2</v>
      </c>
    </row>
    <row r="68" spans="1:5" x14ac:dyDescent="0.3">
      <c r="A68" s="9">
        <v>7.4080000000000004</v>
      </c>
      <c r="B68" s="9"/>
      <c r="C68" s="9">
        <v>1.2038</v>
      </c>
      <c r="D68" s="39">
        <v>2</v>
      </c>
      <c r="E68" s="13">
        <f t="shared" si="0"/>
        <v>0.16249999999999998</v>
      </c>
    </row>
    <row r="69" spans="1:5" x14ac:dyDescent="0.3">
      <c r="A69" s="9">
        <v>6.048</v>
      </c>
      <c r="B69" s="9"/>
      <c r="C69" s="9">
        <v>1.5875999999999999</v>
      </c>
      <c r="D69" s="39">
        <v>3</v>
      </c>
      <c r="E69" s="13">
        <f t="shared" si="0"/>
        <v>0.26249999999999996</v>
      </c>
    </row>
    <row r="70" spans="1:5" x14ac:dyDescent="0.3">
      <c r="A70" s="9">
        <v>196.75200000000001</v>
      </c>
      <c r="B70" s="9"/>
      <c r="C70" s="9">
        <v>56.566200000000002</v>
      </c>
      <c r="D70" s="39">
        <v>6</v>
      </c>
      <c r="E70" s="13">
        <f t="shared" ref="E70:E133" si="1">(C70/A70)</f>
        <v>0.28749999999999998</v>
      </c>
    </row>
    <row r="71" spans="1:5" x14ac:dyDescent="0.3">
      <c r="A71" s="9">
        <v>8.56</v>
      </c>
      <c r="B71" s="9"/>
      <c r="C71" s="9">
        <v>2.4824000000000002</v>
      </c>
      <c r="D71" s="39">
        <v>2</v>
      </c>
      <c r="E71" s="13">
        <f t="shared" si="1"/>
        <v>0.28999999999999998</v>
      </c>
    </row>
    <row r="72" spans="1:5" x14ac:dyDescent="0.3">
      <c r="A72" s="9">
        <v>213.48</v>
      </c>
      <c r="B72" s="9"/>
      <c r="C72" s="9">
        <v>16.010999999999999</v>
      </c>
      <c r="D72" s="39">
        <v>3</v>
      </c>
      <c r="E72" s="13">
        <f t="shared" si="1"/>
        <v>7.4999999999999997E-2</v>
      </c>
    </row>
    <row r="73" spans="1:5" x14ac:dyDescent="0.3">
      <c r="A73" s="9">
        <v>22.72</v>
      </c>
      <c r="B73" s="9"/>
      <c r="C73" s="9">
        <v>7.3840000000000003</v>
      </c>
      <c r="D73" s="39">
        <v>4</v>
      </c>
      <c r="E73" s="13">
        <f t="shared" si="1"/>
        <v>0.32500000000000001</v>
      </c>
    </row>
    <row r="74" spans="1:5" x14ac:dyDescent="0.3">
      <c r="A74" s="9">
        <v>340.92</v>
      </c>
      <c r="B74" s="9"/>
      <c r="C74" s="9">
        <v>3.4091999999999998</v>
      </c>
      <c r="D74" s="39">
        <v>3</v>
      </c>
      <c r="E74" s="13">
        <f t="shared" si="1"/>
        <v>9.9999999999999985E-3</v>
      </c>
    </row>
    <row r="75" spans="1:5" x14ac:dyDescent="0.3">
      <c r="A75" s="9">
        <v>222.666</v>
      </c>
      <c r="B75" s="9"/>
      <c r="C75" s="9">
        <v>10.478400000000001</v>
      </c>
      <c r="D75" s="39">
        <v>2</v>
      </c>
      <c r="E75" s="13">
        <f t="shared" si="1"/>
        <v>4.7058823529411771E-2</v>
      </c>
    </row>
    <row r="76" spans="1:5" x14ac:dyDescent="0.3">
      <c r="A76" s="9">
        <v>703.96799999999996</v>
      </c>
      <c r="B76" s="9"/>
      <c r="C76" s="9">
        <v>87.995999999999995</v>
      </c>
      <c r="D76" s="39">
        <v>4</v>
      </c>
      <c r="E76" s="13">
        <f t="shared" si="1"/>
        <v>0.125</v>
      </c>
    </row>
    <row r="77" spans="1:5" x14ac:dyDescent="0.3">
      <c r="A77" s="9">
        <v>92.52</v>
      </c>
      <c r="B77" s="9"/>
      <c r="C77" s="9">
        <v>24.980399999999999</v>
      </c>
      <c r="D77" s="39">
        <v>6</v>
      </c>
      <c r="E77" s="13">
        <f t="shared" si="1"/>
        <v>0.27</v>
      </c>
    </row>
    <row r="78" spans="1:5" x14ac:dyDescent="0.3">
      <c r="A78" s="9">
        <v>62.65</v>
      </c>
      <c r="B78" s="9"/>
      <c r="C78" s="9">
        <v>28.818999999999999</v>
      </c>
      <c r="D78" s="39">
        <v>7</v>
      </c>
      <c r="E78" s="13">
        <f t="shared" si="1"/>
        <v>0.46</v>
      </c>
    </row>
    <row r="79" spans="1:5" x14ac:dyDescent="0.3">
      <c r="A79" s="9">
        <v>94.85</v>
      </c>
      <c r="B79" s="9"/>
      <c r="C79" s="9">
        <v>45.527999999999999</v>
      </c>
      <c r="D79" s="39">
        <v>5</v>
      </c>
      <c r="E79" s="13">
        <f t="shared" si="1"/>
        <v>0.48000000000000004</v>
      </c>
    </row>
    <row r="80" spans="1:5" x14ac:dyDescent="0.3">
      <c r="A80" s="9">
        <v>211.96</v>
      </c>
      <c r="B80" s="9"/>
      <c r="C80" s="9">
        <v>8.4784000000000006</v>
      </c>
      <c r="D80" s="39">
        <v>4</v>
      </c>
      <c r="E80" s="13">
        <f t="shared" si="1"/>
        <v>0.04</v>
      </c>
    </row>
    <row r="81" spans="1:5" x14ac:dyDescent="0.3">
      <c r="A81" s="9">
        <v>2735.9520000000002</v>
      </c>
      <c r="B81" s="9"/>
      <c r="C81" s="9">
        <v>341.99400000000003</v>
      </c>
      <c r="D81" s="39">
        <v>6</v>
      </c>
      <c r="E81" s="13">
        <f t="shared" si="1"/>
        <v>0.125</v>
      </c>
    </row>
    <row r="82" spans="1:5" x14ac:dyDescent="0.3">
      <c r="A82" s="9">
        <v>39.072000000000003</v>
      </c>
      <c r="B82" s="9"/>
      <c r="C82" s="9">
        <v>9.7680000000000007</v>
      </c>
      <c r="D82" s="39">
        <v>6</v>
      </c>
      <c r="E82" s="13">
        <f t="shared" si="1"/>
        <v>0.25</v>
      </c>
    </row>
    <row r="83" spans="1:5" x14ac:dyDescent="0.3">
      <c r="A83" s="9">
        <v>7.16</v>
      </c>
      <c r="B83" s="9"/>
      <c r="C83" s="9">
        <v>3.58</v>
      </c>
      <c r="D83" s="39">
        <v>2</v>
      </c>
      <c r="E83" s="13">
        <f t="shared" si="1"/>
        <v>0.5</v>
      </c>
    </row>
    <row r="84" spans="1:5" x14ac:dyDescent="0.3">
      <c r="A84" s="9">
        <v>503.96</v>
      </c>
      <c r="B84" s="9"/>
      <c r="C84" s="9">
        <v>131.02959999999999</v>
      </c>
      <c r="D84" s="39">
        <v>4</v>
      </c>
      <c r="E84" s="13">
        <f t="shared" si="1"/>
        <v>0.26</v>
      </c>
    </row>
    <row r="85" spans="1:5" x14ac:dyDescent="0.3">
      <c r="A85" s="9">
        <v>149.94999999999999</v>
      </c>
      <c r="B85" s="9"/>
      <c r="C85" s="9">
        <v>41.985999999999997</v>
      </c>
      <c r="D85" s="39">
        <v>5</v>
      </c>
      <c r="E85" s="13">
        <f t="shared" si="1"/>
        <v>0.28000000000000003</v>
      </c>
    </row>
    <row r="86" spans="1:5" x14ac:dyDescent="0.3">
      <c r="A86" s="9">
        <v>29</v>
      </c>
      <c r="B86" s="9"/>
      <c r="C86" s="9">
        <v>7.25</v>
      </c>
      <c r="D86" s="39">
        <v>2</v>
      </c>
      <c r="E86" s="13">
        <f t="shared" si="1"/>
        <v>0.25</v>
      </c>
    </row>
    <row r="87" spans="1:5" x14ac:dyDescent="0.3">
      <c r="A87" s="9">
        <v>99.135999999999996</v>
      </c>
      <c r="B87" s="9"/>
      <c r="C87" s="9">
        <v>8.6744000000000003</v>
      </c>
      <c r="D87" s="39">
        <v>4</v>
      </c>
      <c r="E87" s="13">
        <f t="shared" si="1"/>
        <v>8.7500000000000008E-2</v>
      </c>
    </row>
    <row r="88" spans="1:5" x14ac:dyDescent="0.3">
      <c r="A88" s="9">
        <v>135.88200000000001</v>
      </c>
      <c r="B88" s="9"/>
      <c r="C88" s="9">
        <v>24.1568</v>
      </c>
      <c r="D88" s="39">
        <v>1</v>
      </c>
      <c r="E88" s="13">
        <f t="shared" si="1"/>
        <v>0.17777777777777778</v>
      </c>
    </row>
    <row r="89" spans="1:5" x14ac:dyDescent="0.3">
      <c r="A89" s="9">
        <v>3991.98</v>
      </c>
      <c r="B89" s="9"/>
      <c r="C89" s="9">
        <v>1995.99</v>
      </c>
      <c r="D89" s="39">
        <v>2</v>
      </c>
      <c r="E89" s="13">
        <f t="shared" si="1"/>
        <v>0.5</v>
      </c>
    </row>
    <row r="90" spans="1:5" x14ac:dyDescent="0.3">
      <c r="A90" s="9">
        <v>275.94</v>
      </c>
      <c r="B90" s="9"/>
      <c r="C90" s="9">
        <v>80.022599999999997</v>
      </c>
      <c r="D90" s="39">
        <v>6</v>
      </c>
      <c r="E90" s="13">
        <f t="shared" si="1"/>
        <v>0.28999999999999998</v>
      </c>
    </row>
    <row r="91" spans="1:5" x14ac:dyDescent="0.3">
      <c r="A91" s="9">
        <v>360</v>
      </c>
      <c r="B91" s="9"/>
      <c r="C91" s="9">
        <v>129.6</v>
      </c>
      <c r="D91" s="39">
        <v>4</v>
      </c>
      <c r="E91" s="13">
        <f t="shared" si="1"/>
        <v>0.36</v>
      </c>
    </row>
    <row r="92" spans="1:5" x14ac:dyDescent="0.3">
      <c r="A92" s="9">
        <v>43.57</v>
      </c>
      <c r="B92" s="9"/>
      <c r="C92" s="9">
        <v>13.071</v>
      </c>
      <c r="D92" s="39">
        <v>1</v>
      </c>
      <c r="E92" s="13">
        <f t="shared" si="1"/>
        <v>0.3</v>
      </c>
    </row>
    <row r="93" spans="1:5" x14ac:dyDescent="0.3">
      <c r="A93" s="9">
        <v>24.815999999999999</v>
      </c>
      <c r="B93" s="9"/>
      <c r="C93" s="9">
        <v>1.8612</v>
      </c>
      <c r="D93" s="39">
        <v>2</v>
      </c>
      <c r="E93" s="13">
        <f t="shared" si="1"/>
        <v>7.4999999999999997E-2</v>
      </c>
    </row>
    <row r="94" spans="1:5" x14ac:dyDescent="0.3">
      <c r="A94" s="9">
        <v>408.74400000000003</v>
      </c>
      <c r="B94" s="9"/>
      <c r="C94" s="9">
        <v>76.639499999999998</v>
      </c>
      <c r="D94" s="39">
        <v>7</v>
      </c>
      <c r="E94" s="13">
        <f t="shared" si="1"/>
        <v>0.18749999999999997</v>
      </c>
    </row>
    <row r="95" spans="1:5" x14ac:dyDescent="0.3">
      <c r="A95" s="9">
        <v>55.5</v>
      </c>
      <c r="B95" s="9"/>
      <c r="C95" s="9">
        <v>9.99</v>
      </c>
      <c r="D95" s="39">
        <v>2</v>
      </c>
      <c r="E95" s="13">
        <f t="shared" si="1"/>
        <v>0.18</v>
      </c>
    </row>
    <row r="96" spans="1:5" x14ac:dyDescent="0.3">
      <c r="A96" s="9">
        <v>178.38399999999999</v>
      </c>
      <c r="B96" s="9"/>
      <c r="C96" s="9">
        <v>22.297999999999998</v>
      </c>
      <c r="D96" s="39">
        <v>2</v>
      </c>
      <c r="E96" s="13">
        <f t="shared" si="1"/>
        <v>0.125</v>
      </c>
    </row>
    <row r="97" spans="1:5" x14ac:dyDescent="0.3">
      <c r="A97" s="9">
        <v>15.552</v>
      </c>
      <c r="B97" s="9"/>
      <c r="C97" s="9">
        <v>5.4432</v>
      </c>
      <c r="D97" s="39">
        <v>3</v>
      </c>
      <c r="E97" s="13">
        <f t="shared" si="1"/>
        <v>0.35000000000000003</v>
      </c>
    </row>
    <row r="98" spans="1:5" x14ac:dyDescent="0.3">
      <c r="A98" s="9">
        <v>20.8</v>
      </c>
      <c r="B98" s="9"/>
      <c r="C98" s="9">
        <v>6.5</v>
      </c>
      <c r="D98" s="39">
        <v>2</v>
      </c>
      <c r="E98" s="13">
        <f t="shared" si="1"/>
        <v>0.3125</v>
      </c>
    </row>
    <row r="99" spans="1:5" x14ac:dyDescent="0.3">
      <c r="A99" s="9">
        <v>899.13599999999997</v>
      </c>
      <c r="B99" s="9"/>
      <c r="C99" s="9">
        <v>112.392</v>
      </c>
      <c r="D99" s="39">
        <v>4</v>
      </c>
      <c r="E99" s="13">
        <f t="shared" si="1"/>
        <v>0.125</v>
      </c>
    </row>
    <row r="100" spans="1:5" x14ac:dyDescent="0.3">
      <c r="A100" s="9">
        <v>71.760000000000005</v>
      </c>
      <c r="B100" s="9"/>
      <c r="C100" s="9">
        <v>20.0928</v>
      </c>
      <c r="D100" s="39">
        <v>6</v>
      </c>
      <c r="E100" s="13">
        <f t="shared" si="1"/>
        <v>0.27999999999999997</v>
      </c>
    </row>
    <row r="101" spans="1:5" x14ac:dyDescent="0.3">
      <c r="A101" s="9">
        <v>51.84</v>
      </c>
      <c r="B101" s="9"/>
      <c r="C101" s="9">
        <v>24.883199999999999</v>
      </c>
      <c r="D101" s="39">
        <v>8</v>
      </c>
      <c r="E101" s="13">
        <f t="shared" si="1"/>
        <v>0.47999999999999993</v>
      </c>
    </row>
    <row r="102" spans="1:5" x14ac:dyDescent="0.3">
      <c r="A102" s="9">
        <v>626.35199999999998</v>
      </c>
      <c r="B102" s="9"/>
      <c r="C102" s="9">
        <v>46.976399999999998</v>
      </c>
      <c r="D102" s="39">
        <v>3</v>
      </c>
      <c r="E102" s="13">
        <f t="shared" si="1"/>
        <v>7.4999999999999997E-2</v>
      </c>
    </row>
    <row r="103" spans="1:5" x14ac:dyDescent="0.3">
      <c r="A103" s="9">
        <v>19.899999999999999</v>
      </c>
      <c r="B103" s="9"/>
      <c r="C103" s="9">
        <v>6.5670000000000002</v>
      </c>
      <c r="D103" s="39">
        <v>5</v>
      </c>
      <c r="E103" s="13">
        <f t="shared" si="1"/>
        <v>0.33</v>
      </c>
    </row>
    <row r="104" spans="1:5" x14ac:dyDescent="0.3">
      <c r="A104" s="9">
        <v>1044.6300000000001</v>
      </c>
      <c r="B104" s="9"/>
      <c r="C104" s="9">
        <v>240.26490000000001</v>
      </c>
      <c r="D104" s="39">
        <v>3</v>
      </c>
      <c r="E104" s="13">
        <f t="shared" si="1"/>
        <v>0.22999999999999998</v>
      </c>
    </row>
    <row r="105" spans="1:5" x14ac:dyDescent="0.3">
      <c r="A105" s="9">
        <v>103.92</v>
      </c>
      <c r="B105" s="9"/>
      <c r="C105" s="9">
        <v>36.372</v>
      </c>
      <c r="D105" s="39">
        <v>4</v>
      </c>
      <c r="E105" s="13">
        <f t="shared" si="1"/>
        <v>0.35</v>
      </c>
    </row>
    <row r="106" spans="1:5" x14ac:dyDescent="0.3">
      <c r="A106" s="9">
        <v>899.91</v>
      </c>
      <c r="B106" s="9"/>
      <c r="C106" s="9">
        <v>377.9622</v>
      </c>
      <c r="D106" s="39">
        <v>9</v>
      </c>
      <c r="E106" s="13">
        <f t="shared" si="1"/>
        <v>0.42</v>
      </c>
    </row>
    <row r="107" spans="1:5" x14ac:dyDescent="0.3">
      <c r="A107" s="9">
        <v>51.311999999999998</v>
      </c>
      <c r="B107" s="9"/>
      <c r="C107" s="9">
        <v>18.6006</v>
      </c>
      <c r="D107" s="39">
        <v>3</v>
      </c>
      <c r="E107" s="13">
        <f t="shared" si="1"/>
        <v>0.36250000000000004</v>
      </c>
    </row>
    <row r="108" spans="1:5" x14ac:dyDescent="0.3">
      <c r="A108" s="9">
        <v>787.53</v>
      </c>
      <c r="B108" s="9"/>
      <c r="C108" s="9">
        <v>165.38130000000001</v>
      </c>
      <c r="D108" s="39">
        <v>3</v>
      </c>
      <c r="E108" s="13">
        <f t="shared" si="1"/>
        <v>0.21000000000000002</v>
      </c>
    </row>
    <row r="109" spans="1:5" x14ac:dyDescent="0.3">
      <c r="A109" s="9">
        <v>671.93</v>
      </c>
      <c r="B109" s="9"/>
      <c r="C109" s="9">
        <v>20.157900000000001</v>
      </c>
      <c r="D109" s="39">
        <v>7</v>
      </c>
      <c r="E109" s="13">
        <f t="shared" si="1"/>
        <v>3.0000000000000006E-2</v>
      </c>
    </row>
    <row r="110" spans="1:5" x14ac:dyDescent="0.3">
      <c r="A110" s="9">
        <v>38.22</v>
      </c>
      <c r="B110" s="9"/>
      <c r="C110" s="9">
        <v>17.9634</v>
      </c>
      <c r="D110" s="39">
        <v>6</v>
      </c>
      <c r="E110" s="13">
        <f t="shared" si="1"/>
        <v>0.47000000000000003</v>
      </c>
    </row>
    <row r="111" spans="1:5" x14ac:dyDescent="0.3">
      <c r="A111" s="9">
        <v>75.180000000000007</v>
      </c>
      <c r="B111" s="9"/>
      <c r="C111" s="9">
        <v>35.334600000000002</v>
      </c>
      <c r="D111" s="39">
        <v>6</v>
      </c>
      <c r="E111" s="13">
        <f t="shared" si="1"/>
        <v>0.47</v>
      </c>
    </row>
    <row r="112" spans="1:5" x14ac:dyDescent="0.3">
      <c r="A112" s="9">
        <v>6.16</v>
      </c>
      <c r="B112" s="9"/>
      <c r="C112" s="9">
        <v>2.9567999999999999</v>
      </c>
      <c r="D112" s="39">
        <v>2</v>
      </c>
      <c r="E112" s="13">
        <f t="shared" si="1"/>
        <v>0.48</v>
      </c>
    </row>
    <row r="113" spans="1:5" x14ac:dyDescent="0.3">
      <c r="A113" s="9">
        <v>89.99</v>
      </c>
      <c r="B113" s="9"/>
      <c r="C113" s="9">
        <v>17.098099999999999</v>
      </c>
      <c r="D113" s="39">
        <v>1</v>
      </c>
      <c r="E113" s="13">
        <f t="shared" si="1"/>
        <v>0.19</v>
      </c>
    </row>
    <row r="114" spans="1:5" x14ac:dyDescent="0.3">
      <c r="A114" s="9">
        <v>113.328</v>
      </c>
      <c r="B114" s="9"/>
      <c r="C114" s="9">
        <v>35.414999999999999</v>
      </c>
      <c r="D114" s="39">
        <v>9</v>
      </c>
      <c r="E114" s="13">
        <f t="shared" si="1"/>
        <v>0.3125</v>
      </c>
    </row>
    <row r="115" spans="1:5" x14ac:dyDescent="0.3">
      <c r="A115" s="9">
        <v>532.39919999999995</v>
      </c>
      <c r="B115" s="9"/>
      <c r="C115" s="9">
        <v>-46.976399999999998</v>
      </c>
      <c r="D115" s="39">
        <v>3</v>
      </c>
      <c r="E115" s="13">
        <f t="shared" si="1"/>
        <v>-8.8235294117647065E-2</v>
      </c>
    </row>
    <row r="116" spans="1:5" x14ac:dyDescent="0.3">
      <c r="A116" s="9">
        <v>212.05799999999999</v>
      </c>
      <c r="B116" s="9"/>
      <c r="C116" s="9">
        <v>-15.147</v>
      </c>
      <c r="D116" s="39">
        <v>3</v>
      </c>
      <c r="E116" s="13">
        <f t="shared" si="1"/>
        <v>-7.1428571428571438E-2</v>
      </c>
    </row>
    <row r="117" spans="1:5" x14ac:dyDescent="0.3">
      <c r="A117" s="9">
        <v>371.16800000000001</v>
      </c>
      <c r="B117" s="9"/>
      <c r="C117" s="9">
        <v>41.756399999999999</v>
      </c>
      <c r="D117" s="39">
        <v>4</v>
      </c>
      <c r="E117" s="13">
        <f t="shared" si="1"/>
        <v>0.1125</v>
      </c>
    </row>
    <row r="118" spans="1:5" x14ac:dyDescent="0.3">
      <c r="A118" s="9">
        <v>6.63</v>
      </c>
      <c r="B118" s="9"/>
      <c r="C118" s="9">
        <v>1.7901</v>
      </c>
      <c r="D118" s="39">
        <v>3</v>
      </c>
      <c r="E118" s="13">
        <f t="shared" si="1"/>
        <v>0.27</v>
      </c>
    </row>
    <row r="119" spans="1:5" x14ac:dyDescent="0.3">
      <c r="A119" s="9">
        <v>54.384</v>
      </c>
      <c r="B119" s="9"/>
      <c r="C119" s="9">
        <v>1.3595999999999999</v>
      </c>
      <c r="D119" s="39">
        <v>2</v>
      </c>
      <c r="E119" s="13">
        <f t="shared" si="1"/>
        <v>2.4999999999999998E-2</v>
      </c>
    </row>
    <row r="120" spans="1:5" x14ac:dyDescent="0.3">
      <c r="A120" s="9">
        <v>70.12</v>
      </c>
      <c r="B120" s="9"/>
      <c r="C120" s="9">
        <v>21.036000000000001</v>
      </c>
      <c r="D120" s="39">
        <v>4</v>
      </c>
      <c r="E120" s="13">
        <f t="shared" si="1"/>
        <v>0.3</v>
      </c>
    </row>
    <row r="121" spans="1:5" x14ac:dyDescent="0.3">
      <c r="A121" s="9">
        <v>482.34</v>
      </c>
      <c r="B121" s="9"/>
      <c r="C121" s="9">
        <v>-337.63799999999998</v>
      </c>
      <c r="D121" s="39">
        <v>4</v>
      </c>
      <c r="E121" s="13">
        <f t="shared" si="1"/>
        <v>-0.7</v>
      </c>
    </row>
    <row r="122" spans="1:5" x14ac:dyDescent="0.3">
      <c r="A122" s="9">
        <v>2.96</v>
      </c>
      <c r="B122" s="9"/>
      <c r="C122" s="9">
        <v>0.77700000000000002</v>
      </c>
      <c r="D122" s="39">
        <v>1</v>
      </c>
      <c r="E122" s="13">
        <f t="shared" si="1"/>
        <v>0.26250000000000001</v>
      </c>
    </row>
    <row r="123" spans="1:5" x14ac:dyDescent="0.3">
      <c r="A123" s="9">
        <v>58.38</v>
      </c>
      <c r="B123" s="9"/>
      <c r="C123" s="9">
        <v>26.271000000000001</v>
      </c>
      <c r="D123" s="39">
        <v>7</v>
      </c>
      <c r="E123" s="13">
        <f t="shared" si="1"/>
        <v>0.45</v>
      </c>
    </row>
    <row r="124" spans="1:5" x14ac:dyDescent="0.3">
      <c r="A124" s="9">
        <v>105.52</v>
      </c>
      <c r="B124" s="9"/>
      <c r="C124" s="9">
        <v>48.539200000000001</v>
      </c>
      <c r="D124" s="39">
        <v>4</v>
      </c>
      <c r="E124" s="13">
        <f t="shared" si="1"/>
        <v>0.46</v>
      </c>
    </row>
    <row r="125" spans="1:5" x14ac:dyDescent="0.3">
      <c r="A125" s="9">
        <v>80.88</v>
      </c>
      <c r="B125" s="9"/>
      <c r="C125" s="9">
        <v>21.0288</v>
      </c>
      <c r="D125" s="39">
        <v>6</v>
      </c>
      <c r="E125" s="13">
        <f t="shared" si="1"/>
        <v>0.26</v>
      </c>
    </row>
    <row r="126" spans="1:5" x14ac:dyDescent="0.3">
      <c r="A126" s="9">
        <v>41.9</v>
      </c>
      <c r="B126" s="9"/>
      <c r="C126" s="9">
        <v>8.7989999999999995</v>
      </c>
      <c r="D126" s="39">
        <v>2</v>
      </c>
      <c r="E126" s="13">
        <f t="shared" si="1"/>
        <v>0.21</v>
      </c>
    </row>
    <row r="127" spans="1:5" x14ac:dyDescent="0.3">
      <c r="A127" s="9">
        <v>4.96</v>
      </c>
      <c r="B127" s="9"/>
      <c r="C127" s="9">
        <v>2.3311999999999999</v>
      </c>
      <c r="D127" s="39">
        <v>4</v>
      </c>
      <c r="E127" s="13">
        <f t="shared" si="1"/>
        <v>0.47</v>
      </c>
    </row>
    <row r="128" spans="1:5" x14ac:dyDescent="0.3">
      <c r="A128" s="9">
        <v>339.96</v>
      </c>
      <c r="B128" s="9"/>
      <c r="C128" s="9">
        <v>67.992000000000004</v>
      </c>
      <c r="D128" s="39">
        <v>5</v>
      </c>
      <c r="E128" s="13">
        <f t="shared" si="1"/>
        <v>0.20000000000000004</v>
      </c>
    </row>
    <row r="129" spans="1:5" x14ac:dyDescent="0.3">
      <c r="A129" s="9">
        <v>8.6519999999999992</v>
      </c>
      <c r="B129" s="9"/>
      <c r="C129" s="9">
        <v>-20.3322</v>
      </c>
      <c r="D129" s="39">
        <v>3</v>
      </c>
      <c r="E129" s="13">
        <f t="shared" si="1"/>
        <v>-2.35</v>
      </c>
    </row>
    <row r="130" spans="1:5" x14ac:dyDescent="0.3">
      <c r="A130" s="9">
        <v>23.832000000000001</v>
      </c>
      <c r="B130" s="9"/>
      <c r="C130" s="9">
        <v>2.6810999999999998</v>
      </c>
      <c r="D130" s="39">
        <v>3</v>
      </c>
      <c r="E130" s="13">
        <f t="shared" si="1"/>
        <v>0.11249999999999999</v>
      </c>
    </row>
    <row r="131" spans="1:5" x14ac:dyDescent="0.3">
      <c r="A131" s="9">
        <v>12.176</v>
      </c>
      <c r="B131" s="9"/>
      <c r="C131" s="9">
        <v>-18.872800000000002</v>
      </c>
      <c r="D131" s="39">
        <v>4</v>
      </c>
      <c r="E131" s="13">
        <f t="shared" si="1"/>
        <v>-1.55</v>
      </c>
    </row>
    <row r="132" spans="1:5" x14ac:dyDescent="0.3">
      <c r="A132" s="9">
        <v>141.76</v>
      </c>
      <c r="B132" s="9"/>
      <c r="C132" s="9">
        <v>47.844000000000001</v>
      </c>
      <c r="D132" s="39">
        <v>5</v>
      </c>
      <c r="E132" s="13">
        <f t="shared" si="1"/>
        <v>0.33750000000000002</v>
      </c>
    </row>
    <row r="133" spans="1:5" x14ac:dyDescent="0.3">
      <c r="A133" s="9">
        <v>239.8</v>
      </c>
      <c r="B133" s="9"/>
      <c r="C133" s="9">
        <v>47.96</v>
      </c>
      <c r="D133" s="39">
        <v>5</v>
      </c>
      <c r="E133" s="13">
        <f t="shared" si="1"/>
        <v>0.19999999999999998</v>
      </c>
    </row>
    <row r="134" spans="1:5" x14ac:dyDescent="0.3">
      <c r="A134" s="9">
        <v>31.103999999999999</v>
      </c>
      <c r="B134" s="9"/>
      <c r="C134" s="9">
        <v>10.8864</v>
      </c>
      <c r="D134" s="39">
        <v>6</v>
      </c>
      <c r="E134" s="13">
        <f t="shared" ref="E134:E197" si="2">(C134/A134)</f>
        <v>0.35000000000000003</v>
      </c>
    </row>
    <row r="135" spans="1:5" x14ac:dyDescent="0.3">
      <c r="A135" s="9">
        <v>1038.8399999999999</v>
      </c>
      <c r="B135" s="9"/>
      <c r="C135" s="9">
        <v>51.942</v>
      </c>
      <c r="D135" s="39">
        <v>5</v>
      </c>
      <c r="E135" s="13">
        <f t="shared" si="2"/>
        <v>0.05</v>
      </c>
    </row>
    <row r="136" spans="1:5" x14ac:dyDescent="0.3">
      <c r="A136" s="9">
        <v>14.28</v>
      </c>
      <c r="B136" s="9"/>
      <c r="C136" s="9">
        <v>6.7115999999999998</v>
      </c>
      <c r="D136" s="39">
        <v>7</v>
      </c>
      <c r="E136" s="13">
        <f t="shared" si="2"/>
        <v>0.47000000000000003</v>
      </c>
    </row>
    <row r="137" spans="1:5" x14ac:dyDescent="0.3">
      <c r="A137" s="9">
        <v>105.42</v>
      </c>
      <c r="B137" s="9"/>
      <c r="C137" s="9">
        <v>51.655799999999999</v>
      </c>
      <c r="D137" s="39">
        <v>2</v>
      </c>
      <c r="E137" s="13">
        <f t="shared" si="2"/>
        <v>0.49</v>
      </c>
    </row>
    <row r="138" spans="1:5" x14ac:dyDescent="0.3">
      <c r="A138" s="9">
        <v>13.98</v>
      </c>
      <c r="B138" s="9"/>
      <c r="C138" s="9">
        <v>6.1512000000000002</v>
      </c>
      <c r="D138" s="39">
        <v>2</v>
      </c>
      <c r="E138" s="13">
        <f t="shared" si="2"/>
        <v>0.44</v>
      </c>
    </row>
    <row r="139" spans="1:5" x14ac:dyDescent="0.3">
      <c r="A139" s="9">
        <v>25.824000000000002</v>
      </c>
      <c r="B139" s="9"/>
      <c r="C139" s="9">
        <v>9.3612000000000002</v>
      </c>
      <c r="D139" s="39">
        <v>6</v>
      </c>
      <c r="E139" s="13">
        <f t="shared" si="2"/>
        <v>0.36249999999999999</v>
      </c>
    </row>
    <row r="140" spans="1:5" x14ac:dyDescent="0.3">
      <c r="A140" s="9">
        <v>146.72999999999999</v>
      </c>
      <c r="B140" s="9"/>
      <c r="C140" s="9">
        <v>68.963099999999997</v>
      </c>
      <c r="D140" s="39">
        <v>3</v>
      </c>
      <c r="E140" s="13">
        <f t="shared" si="2"/>
        <v>0.47000000000000003</v>
      </c>
    </row>
    <row r="141" spans="1:5" x14ac:dyDescent="0.3">
      <c r="A141" s="9">
        <v>79.760000000000005</v>
      </c>
      <c r="B141" s="9"/>
      <c r="C141" s="9">
        <v>22.332799999999999</v>
      </c>
      <c r="D141" s="39">
        <v>4</v>
      </c>
      <c r="E141" s="13">
        <f t="shared" si="2"/>
        <v>0.27999999999999997</v>
      </c>
    </row>
    <row r="142" spans="1:5" x14ac:dyDescent="0.3">
      <c r="A142" s="9">
        <v>3.28</v>
      </c>
      <c r="B142" s="9"/>
      <c r="C142" s="9">
        <v>1.4104000000000001</v>
      </c>
      <c r="D142" s="39">
        <v>1</v>
      </c>
      <c r="E142" s="13">
        <f t="shared" si="2"/>
        <v>0.43000000000000005</v>
      </c>
    </row>
    <row r="143" spans="1:5" x14ac:dyDescent="0.3">
      <c r="A143" s="9">
        <v>4.7519999999999998</v>
      </c>
      <c r="B143" s="9"/>
      <c r="C143" s="9">
        <v>1.6037999999999999</v>
      </c>
      <c r="D143" s="39">
        <v>1</v>
      </c>
      <c r="E143" s="13">
        <f t="shared" si="2"/>
        <v>0.33749999999999997</v>
      </c>
    </row>
    <row r="144" spans="1:5" x14ac:dyDescent="0.3">
      <c r="A144" s="9">
        <v>959.98400000000004</v>
      </c>
      <c r="B144" s="9"/>
      <c r="C144" s="9">
        <v>335.99439999999998</v>
      </c>
      <c r="D144" s="39">
        <v>2</v>
      </c>
      <c r="E144" s="13">
        <f t="shared" si="2"/>
        <v>0.35</v>
      </c>
    </row>
    <row r="145" spans="1:5" x14ac:dyDescent="0.3">
      <c r="A145" s="9">
        <v>14.368</v>
      </c>
      <c r="B145" s="9"/>
      <c r="C145" s="9">
        <v>4.49</v>
      </c>
      <c r="D145" s="39">
        <v>4</v>
      </c>
      <c r="E145" s="13">
        <f t="shared" si="2"/>
        <v>0.3125</v>
      </c>
    </row>
    <row r="146" spans="1:5" x14ac:dyDescent="0.3">
      <c r="A146" s="9">
        <v>26.8</v>
      </c>
      <c r="B146" s="9"/>
      <c r="C146" s="9">
        <v>12.864000000000001</v>
      </c>
      <c r="D146" s="39">
        <v>2</v>
      </c>
      <c r="E146" s="13">
        <f t="shared" si="2"/>
        <v>0.48000000000000004</v>
      </c>
    </row>
    <row r="147" spans="1:5" x14ac:dyDescent="0.3">
      <c r="A147" s="9">
        <v>23.68</v>
      </c>
      <c r="B147" s="9"/>
      <c r="C147" s="9">
        <v>8.8800000000000008</v>
      </c>
      <c r="D147" s="39">
        <v>2</v>
      </c>
      <c r="E147" s="13">
        <f t="shared" si="2"/>
        <v>0.37500000000000006</v>
      </c>
    </row>
    <row r="148" spans="1:5" x14ac:dyDescent="0.3">
      <c r="A148" s="9">
        <v>452.45</v>
      </c>
      <c r="B148" s="9"/>
      <c r="C148" s="9">
        <v>-244.32300000000001</v>
      </c>
      <c r="D148" s="39">
        <v>5</v>
      </c>
      <c r="E148" s="13">
        <f t="shared" si="2"/>
        <v>-0.54</v>
      </c>
    </row>
    <row r="149" spans="1:5" x14ac:dyDescent="0.3">
      <c r="A149" s="9">
        <v>62.981999999999999</v>
      </c>
      <c r="B149" s="9"/>
      <c r="C149" s="9">
        <v>-14.6958</v>
      </c>
      <c r="D149" s="39">
        <v>3</v>
      </c>
      <c r="E149" s="13">
        <f t="shared" si="2"/>
        <v>-0.23333333333333334</v>
      </c>
    </row>
    <row r="150" spans="1:5" x14ac:dyDescent="0.3">
      <c r="A150" s="9">
        <v>1188</v>
      </c>
      <c r="B150" s="9"/>
      <c r="C150" s="9">
        <v>-950.4</v>
      </c>
      <c r="D150" s="39">
        <v>9</v>
      </c>
      <c r="E150" s="13">
        <f t="shared" si="2"/>
        <v>-0.79999999999999993</v>
      </c>
    </row>
    <row r="151" spans="1:5" x14ac:dyDescent="0.3">
      <c r="A151" s="9">
        <v>89.584000000000003</v>
      </c>
      <c r="B151" s="9"/>
      <c r="C151" s="9">
        <v>4.4791999999999996</v>
      </c>
      <c r="D151" s="39">
        <v>2</v>
      </c>
      <c r="E151" s="13">
        <f t="shared" si="2"/>
        <v>4.9999999999999996E-2</v>
      </c>
    </row>
    <row r="152" spans="1:5" x14ac:dyDescent="0.3">
      <c r="A152" s="9">
        <v>12.96</v>
      </c>
      <c r="B152" s="9"/>
      <c r="C152" s="9">
        <v>6.2207999999999997</v>
      </c>
      <c r="D152" s="39">
        <v>2</v>
      </c>
      <c r="E152" s="13">
        <f t="shared" si="2"/>
        <v>0.47999999999999993</v>
      </c>
    </row>
    <row r="153" spans="1:5" x14ac:dyDescent="0.3">
      <c r="A153" s="9">
        <v>53.34</v>
      </c>
      <c r="B153" s="9"/>
      <c r="C153" s="9">
        <v>16.535399999999999</v>
      </c>
      <c r="D153" s="39">
        <v>3</v>
      </c>
      <c r="E153" s="13">
        <f t="shared" si="2"/>
        <v>0.30999999999999994</v>
      </c>
    </row>
    <row r="154" spans="1:5" x14ac:dyDescent="0.3">
      <c r="A154" s="9">
        <v>32.96</v>
      </c>
      <c r="B154" s="9"/>
      <c r="C154" s="9">
        <v>16.150400000000001</v>
      </c>
      <c r="D154" s="39">
        <v>2</v>
      </c>
      <c r="E154" s="13">
        <f t="shared" si="2"/>
        <v>0.49000000000000005</v>
      </c>
    </row>
    <row r="155" spans="1:5" x14ac:dyDescent="0.3">
      <c r="A155" s="9">
        <v>200.98400000000001</v>
      </c>
      <c r="B155" s="9"/>
      <c r="C155" s="9">
        <v>62.807499999999997</v>
      </c>
      <c r="D155" s="39">
        <v>7</v>
      </c>
      <c r="E155" s="13">
        <f t="shared" si="2"/>
        <v>0.3125</v>
      </c>
    </row>
    <row r="156" spans="1:5" x14ac:dyDescent="0.3">
      <c r="A156" s="9">
        <v>55.48</v>
      </c>
      <c r="B156" s="9"/>
      <c r="C156" s="9">
        <v>26.630400000000002</v>
      </c>
      <c r="D156" s="39">
        <v>1</v>
      </c>
      <c r="E156" s="13">
        <f t="shared" si="2"/>
        <v>0.48000000000000004</v>
      </c>
    </row>
    <row r="157" spans="1:5" x14ac:dyDescent="0.3">
      <c r="A157" s="9">
        <v>79.900000000000006</v>
      </c>
      <c r="B157" s="9"/>
      <c r="C157" s="9">
        <v>35.155999999999999</v>
      </c>
      <c r="D157" s="39">
        <v>2</v>
      </c>
      <c r="E157" s="13">
        <f t="shared" si="2"/>
        <v>0.43999999999999995</v>
      </c>
    </row>
    <row r="158" spans="1:5" x14ac:dyDescent="0.3">
      <c r="A158" s="9">
        <v>209.93</v>
      </c>
      <c r="B158" s="9"/>
      <c r="C158" s="9">
        <v>92.369200000000006</v>
      </c>
      <c r="D158" s="39">
        <v>7</v>
      </c>
      <c r="E158" s="13">
        <f t="shared" si="2"/>
        <v>0.44</v>
      </c>
    </row>
    <row r="159" spans="1:5" x14ac:dyDescent="0.3">
      <c r="A159" s="9">
        <v>5.28</v>
      </c>
      <c r="B159" s="9"/>
      <c r="C159" s="9">
        <v>2.3231999999999999</v>
      </c>
      <c r="D159" s="39">
        <v>3</v>
      </c>
      <c r="E159" s="13">
        <f t="shared" si="2"/>
        <v>0.43999999999999995</v>
      </c>
    </row>
    <row r="160" spans="1:5" x14ac:dyDescent="0.3">
      <c r="A160" s="9">
        <v>10.92</v>
      </c>
      <c r="B160" s="9"/>
      <c r="C160" s="9">
        <v>4.0949999999999998</v>
      </c>
      <c r="D160" s="39">
        <v>3</v>
      </c>
      <c r="E160" s="13">
        <f t="shared" si="2"/>
        <v>0.375</v>
      </c>
    </row>
    <row r="161" spans="1:5" x14ac:dyDescent="0.3">
      <c r="A161" s="9">
        <v>2.2000000000000002</v>
      </c>
      <c r="B161" s="9"/>
      <c r="C161" s="9">
        <v>0.96799999999999997</v>
      </c>
      <c r="D161" s="39">
        <v>1</v>
      </c>
      <c r="E161" s="13">
        <f t="shared" si="2"/>
        <v>0.43999999999999995</v>
      </c>
    </row>
    <row r="162" spans="1:5" x14ac:dyDescent="0.3">
      <c r="A162" s="9">
        <v>622.45000000000005</v>
      </c>
      <c r="B162" s="9"/>
      <c r="C162" s="9">
        <v>136.93899999999999</v>
      </c>
      <c r="D162" s="39">
        <v>5</v>
      </c>
      <c r="E162" s="13">
        <f t="shared" si="2"/>
        <v>0.21999999999999997</v>
      </c>
    </row>
    <row r="163" spans="1:5" x14ac:dyDescent="0.3">
      <c r="A163" s="9">
        <v>21.98</v>
      </c>
      <c r="B163" s="9"/>
      <c r="C163" s="9">
        <v>0.2198</v>
      </c>
      <c r="D163" s="39">
        <v>1</v>
      </c>
      <c r="E163" s="13">
        <f t="shared" si="2"/>
        <v>0.01</v>
      </c>
    </row>
    <row r="164" spans="1:5" x14ac:dyDescent="0.3">
      <c r="A164" s="9">
        <v>5.5839999999999996</v>
      </c>
      <c r="B164" s="9"/>
      <c r="C164" s="9">
        <v>1.8148</v>
      </c>
      <c r="D164" s="39">
        <v>2</v>
      </c>
      <c r="E164" s="13">
        <f t="shared" si="2"/>
        <v>0.32500000000000001</v>
      </c>
    </row>
    <row r="165" spans="1:5" x14ac:dyDescent="0.3">
      <c r="A165" s="9">
        <v>22.704000000000001</v>
      </c>
      <c r="B165" s="9"/>
      <c r="C165" s="9">
        <v>8.2302</v>
      </c>
      <c r="D165" s="39">
        <v>6</v>
      </c>
      <c r="E165" s="13">
        <f t="shared" si="2"/>
        <v>0.36249999999999999</v>
      </c>
    </row>
    <row r="166" spans="1:5" x14ac:dyDescent="0.3">
      <c r="A166" s="9">
        <v>19.776</v>
      </c>
      <c r="B166" s="9"/>
      <c r="C166" s="9">
        <v>-13.8432</v>
      </c>
      <c r="D166" s="39">
        <v>4</v>
      </c>
      <c r="E166" s="13">
        <f t="shared" si="2"/>
        <v>-0.7</v>
      </c>
    </row>
    <row r="167" spans="1:5" x14ac:dyDescent="0.3">
      <c r="A167" s="9">
        <v>72.703999999999994</v>
      </c>
      <c r="B167" s="9"/>
      <c r="C167" s="9">
        <v>19.084800000000001</v>
      </c>
      <c r="D167" s="39">
        <v>4</v>
      </c>
      <c r="E167" s="13">
        <f t="shared" si="2"/>
        <v>0.26250000000000007</v>
      </c>
    </row>
    <row r="168" spans="1:5" x14ac:dyDescent="0.3">
      <c r="A168" s="9">
        <v>479.988</v>
      </c>
      <c r="B168" s="9"/>
      <c r="C168" s="9">
        <v>-383.99040000000002</v>
      </c>
      <c r="D168" s="39">
        <v>4</v>
      </c>
      <c r="E168" s="13">
        <f t="shared" si="2"/>
        <v>-0.8</v>
      </c>
    </row>
    <row r="169" spans="1:5" x14ac:dyDescent="0.3">
      <c r="A169" s="9">
        <v>27.167999999999999</v>
      </c>
      <c r="B169" s="9"/>
      <c r="C169" s="9">
        <v>2.7168000000000001</v>
      </c>
      <c r="D169" s="39">
        <v>2</v>
      </c>
      <c r="E169" s="13">
        <f t="shared" si="2"/>
        <v>0.1</v>
      </c>
    </row>
    <row r="170" spans="1:5" x14ac:dyDescent="0.3">
      <c r="A170" s="9">
        <v>63.88</v>
      </c>
      <c r="B170" s="9"/>
      <c r="C170" s="9">
        <v>24.9132</v>
      </c>
      <c r="D170" s="39">
        <v>4</v>
      </c>
      <c r="E170" s="13">
        <f t="shared" si="2"/>
        <v>0.38999999999999996</v>
      </c>
    </row>
    <row r="171" spans="1:5" x14ac:dyDescent="0.3">
      <c r="A171" s="9">
        <v>14.7</v>
      </c>
      <c r="B171" s="9"/>
      <c r="C171" s="9">
        <v>6.6150000000000002</v>
      </c>
      <c r="D171" s="39">
        <v>5</v>
      </c>
      <c r="E171" s="13">
        <f t="shared" si="2"/>
        <v>0.45</v>
      </c>
    </row>
    <row r="172" spans="1:5" x14ac:dyDescent="0.3">
      <c r="A172" s="9">
        <v>704.25</v>
      </c>
      <c r="B172" s="9"/>
      <c r="C172" s="9">
        <v>84.51</v>
      </c>
      <c r="D172" s="39">
        <v>5</v>
      </c>
      <c r="E172" s="13">
        <f t="shared" si="2"/>
        <v>0.12000000000000001</v>
      </c>
    </row>
    <row r="173" spans="1:5" x14ac:dyDescent="0.3">
      <c r="A173" s="9">
        <v>77.88</v>
      </c>
      <c r="B173" s="9"/>
      <c r="C173" s="9">
        <v>3.8940000000000001</v>
      </c>
      <c r="D173" s="39">
        <v>2</v>
      </c>
      <c r="E173" s="13">
        <f t="shared" si="2"/>
        <v>0.05</v>
      </c>
    </row>
    <row r="174" spans="1:5" x14ac:dyDescent="0.3">
      <c r="A174" s="9">
        <v>47.04</v>
      </c>
      <c r="B174" s="9"/>
      <c r="C174" s="9">
        <v>18.345600000000001</v>
      </c>
      <c r="D174" s="39">
        <v>3</v>
      </c>
      <c r="E174" s="13">
        <f t="shared" si="2"/>
        <v>0.39</v>
      </c>
    </row>
    <row r="175" spans="1:5" x14ac:dyDescent="0.3">
      <c r="A175" s="9">
        <v>30.84</v>
      </c>
      <c r="B175" s="9"/>
      <c r="C175" s="9">
        <v>13.878</v>
      </c>
      <c r="D175" s="39">
        <v>4</v>
      </c>
      <c r="E175" s="13">
        <f t="shared" si="2"/>
        <v>0.45</v>
      </c>
    </row>
    <row r="176" spans="1:5" x14ac:dyDescent="0.3">
      <c r="A176" s="9">
        <v>226.56</v>
      </c>
      <c r="B176" s="9"/>
      <c r="C176" s="9">
        <v>63.436799999999998</v>
      </c>
      <c r="D176" s="39">
        <v>6</v>
      </c>
      <c r="E176" s="13">
        <f t="shared" si="2"/>
        <v>0.27999999999999997</v>
      </c>
    </row>
    <row r="177" spans="1:5" x14ac:dyDescent="0.3">
      <c r="A177" s="9">
        <v>115.02</v>
      </c>
      <c r="B177" s="9"/>
      <c r="C177" s="9">
        <v>51.759</v>
      </c>
      <c r="D177" s="39">
        <v>9</v>
      </c>
      <c r="E177" s="13">
        <f t="shared" si="2"/>
        <v>0.45</v>
      </c>
    </row>
    <row r="178" spans="1:5" x14ac:dyDescent="0.3">
      <c r="A178" s="9">
        <v>68.040000000000006</v>
      </c>
      <c r="B178" s="9"/>
      <c r="C178" s="9">
        <v>19.7316</v>
      </c>
      <c r="D178" s="39">
        <v>7</v>
      </c>
      <c r="E178" s="13">
        <f t="shared" si="2"/>
        <v>0.28999999999999998</v>
      </c>
    </row>
    <row r="179" spans="1:5" x14ac:dyDescent="0.3">
      <c r="A179" s="9">
        <v>95.76</v>
      </c>
      <c r="B179" s="9"/>
      <c r="C179" s="9">
        <v>7.1820000000000004</v>
      </c>
      <c r="D179" s="39">
        <v>6</v>
      </c>
      <c r="E179" s="13">
        <f t="shared" si="2"/>
        <v>7.4999999999999997E-2</v>
      </c>
    </row>
    <row r="180" spans="1:5" x14ac:dyDescent="0.3">
      <c r="A180" s="9">
        <v>7.16</v>
      </c>
      <c r="B180" s="9"/>
      <c r="C180" s="9">
        <v>3.4367999999999999</v>
      </c>
      <c r="D180" s="39">
        <v>2</v>
      </c>
      <c r="E180" s="13">
        <f t="shared" si="2"/>
        <v>0.48</v>
      </c>
    </row>
    <row r="181" spans="1:5" x14ac:dyDescent="0.3">
      <c r="A181" s="9">
        <v>15.26</v>
      </c>
      <c r="B181" s="9"/>
      <c r="C181" s="9">
        <v>6.2565999999999997</v>
      </c>
      <c r="D181" s="39">
        <v>7</v>
      </c>
      <c r="E181" s="13">
        <f t="shared" si="2"/>
        <v>0.41</v>
      </c>
    </row>
    <row r="182" spans="1:5" x14ac:dyDescent="0.3">
      <c r="A182" s="9">
        <v>1029.95</v>
      </c>
      <c r="B182" s="9"/>
      <c r="C182" s="9">
        <v>298.68549999999999</v>
      </c>
      <c r="D182" s="39">
        <v>5</v>
      </c>
      <c r="E182" s="13">
        <f t="shared" si="2"/>
        <v>0.28999999999999998</v>
      </c>
    </row>
    <row r="183" spans="1:5" x14ac:dyDescent="0.3">
      <c r="A183" s="9">
        <v>4.6159999999999997</v>
      </c>
      <c r="B183" s="9"/>
      <c r="C183" s="9">
        <v>1.7310000000000001</v>
      </c>
      <c r="D183" s="39">
        <v>1</v>
      </c>
      <c r="E183" s="13">
        <f t="shared" si="2"/>
        <v>0.37500000000000006</v>
      </c>
    </row>
    <row r="184" spans="1:5" x14ac:dyDescent="0.3">
      <c r="A184" s="9">
        <v>35.951999999999998</v>
      </c>
      <c r="B184" s="9"/>
      <c r="C184" s="9">
        <v>3.5952000000000002</v>
      </c>
      <c r="D184" s="39">
        <v>3</v>
      </c>
      <c r="E184" s="13">
        <f t="shared" si="2"/>
        <v>0.1</v>
      </c>
    </row>
    <row r="185" spans="1:5" x14ac:dyDescent="0.3">
      <c r="A185" s="9">
        <v>2396.2656000000002</v>
      </c>
      <c r="B185" s="9"/>
      <c r="C185" s="9">
        <v>-317.15280000000001</v>
      </c>
      <c r="D185" s="39">
        <v>4</v>
      </c>
      <c r="E185" s="13">
        <f t="shared" si="2"/>
        <v>-0.13235294117647059</v>
      </c>
    </row>
    <row r="186" spans="1:5" x14ac:dyDescent="0.3">
      <c r="A186" s="9">
        <v>131.136</v>
      </c>
      <c r="B186" s="9"/>
      <c r="C186" s="9">
        <v>-32.783999999999999</v>
      </c>
      <c r="D186" s="39">
        <v>4</v>
      </c>
      <c r="E186" s="13">
        <f t="shared" si="2"/>
        <v>-0.25</v>
      </c>
    </row>
    <row r="187" spans="1:5" x14ac:dyDescent="0.3">
      <c r="A187" s="9">
        <v>57.584000000000003</v>
      </c>
      <c r="B187" s="9"/>
      <c r="C187" s="9">
        <v>0.7198</v>
      </c>
      <c r="D187" s="39">
        <v>2</v>
      </c>
      <c r="E187" s="13">
        <f t="shared" si="2"/>
        <v>1.2499999999999999E-2</v>
      </c>
    </row>
    <row r="188" spans="1:5" x14ac:dyDescent="0.3">
      <c r="A188" s="9">
        <v>20.100000000000001</v>
      </c>
      <c r="B188" s="9"/>
      <c r="C188" s="9">
        <v>6.633</v>
      </c>
      <c r="D188" s="39">
        <v>3</v>
      </c>
      <c r="E188" s="13">
        <f t="shared" si="2"/>
        <v>0.32999999999999996</v>
      </c>
    </row>
    <row r="189" spans="1:5" x14ac:dyDescent="0.3">
      <c r="A189" s="9">
        <v>73.584000000000003</v>
      </c>
      <c r="B189" s="9"/>
      <c r="C189" s="9">
        <v>8.2782</v>
      </c>
      <c r="D189" s="39">
        <v>2</v>
      </c>
      <c r="E189" s="13">
        <f t="shared" si="2"/>
        <v>0.11249999999999999</v>
      </c>
    </row>
    <row r="190" spans="1:5" x14ac:dyDescent="0.3">
      <c r="A190" s="9">
        <v>6.48</v>
      </c>
      <c r="B190" s="9"/>
      <c r="C190" s="9">
        <v>3.1103999999999998</v>
      </c>
      <c r="D190" s="39">
        <v>1</v>
      </c>
      <c r="E190" s="13">
        <f t="shared" si="2"/>
        <v>0.47999999999999993</v>
      </c>
    </row>
    <row r="191" spans="1:5" x14ac:dyDescent="0.3">
      <c r="A191" s="9">
        <v>23.56</v>
      </c>
      <c r="B191" s="9"/>
      <c r="C191" s="9">
        <v>7.0679999999999996</v>
      </c>
      <c r="D191" s="39">
        <v>5</v>
      </c>
      <c r="E191" s="13">
        <f t="shared" si="2"/>
        <v>0.3</v>
      </c>
    </row>
    <row r="192" spans="1:5" x14ac:dyDescent="0.3">
      <c r="A192" s="9">
        <v>1272.6300000000001</v>
      </c>
      <c r="B192" s="9"/>
      <c r="C192" s="9">
        <v>-814.48320000000001</v>
      </c>
      <c r="D192" s="39">
        <v>6</v>
      </c>
      <c r="E192" s="13">
        <f t="shared" si="2"/>
        <v>-0.6399999999999999</v>
      </c>
    </row>
    <row r="193" spans="1:5" x14ac:dyDescent="0.3">
      <c r="A193" s="9">
        <v>28.484999999999999</v>
      </c>
      <c r="B193" s="9"/>
      <c r="C193" s="9">
        <v>-20.888999999999999</v>
      </c>
      <c r="D193" s="39">
        <v>5</v>
      </c>
      <c r="E193" s="13">
        <f t="shared" si="2"/>
        <v>-0.73333333333333328</v>
      </c>
    </row>
    <row r="194" spans="1:5" x14ac:dyDescent="0.3">
      <c r="A194" s="9">
        <v>185.376</v>
      </c>
      <c r="B194" s="9"/>
      <c r="C194" s="9">
        <v>-34.758000000000003</v>
      </c>
      <c r="D194" s="39">
        <v>2</v>
      </c>
      <c r="E194" s="13">
        <f t="shared" si="2"/>
        <v>-0.1875</v>
      </c>
    </row>
    <row r="195" spans="1:5" x14ac:dyDescent="0.3">
      <c r="A195" s="9">
        <v>78.272000000000006</v>
      </c>
      <c r="B195" s="9"/>
      <c r="C195" s="9">
        <v>5.8704000000000001</v>
      </c>
      <c r="D195" s="39">
        <v>2</v>
      </c>
      <c r="E195" s="13">
        <f t="shared" si="2"/>
        <v>7.4999999999999997E-2</v>
      </c>
    </row>
    <row r="196" spans="1:5" x14ac:dyDescent="0.3">
      <c r="A196" s="9">
        <v>82.8</v>
      </c>
      <c r="B196" s="9"/>
      <c r="C196" s="9">
        <v>10.35</v>
      </c>
      <c r="D196" s="39">
        <v>2</v>
      </c>
      <c r="E196" s="13">
        <f t="shared" si="2"/>
        <v>0.125</v>
      </c>
    </row>
    <row r="197" spans="1:5" x14ac:dyDescent="0.3">
      <c r="A197" s="9">
        <v>19.096</v>
      </c>
      <c r="B197" s="9"/>
      <c r="C197" s="9">
        <v>6.6836000000000002</v>
      </c>
      <c r="D197" s="39">
        <v>7</v>
      </c>
      <c r="E197" s="13">
        <f t="shared" si="2"/>
        <v>0.35000000000000003</v>
      </c>
    </row>
    <row r="198" spans="1:5" x14ac:dyDescent="0.3">
      <c r="A198" s="9">
        <v>18.495999999999999</v>
      </c>
      <c r="B198" s="9"/>
      <c r="C198" s="9">
        <v>6.2423999999999999</v>
      </c>
      <c r="D198" s="39">
        <v>8</v>
      </c>
      <c r="E198" s="13">
        <f t="shared" ref="E198:E261" si="3">(C198/A198)</f>
        <v>0.33750000000000002</v>
      </c>
    </row>
    <row r="199" spans="1:5" x14ac:dyDescent="0.3">
      <c r="A199" s="9">
        <v>255.98400000000001</v>
      </c>
      <c r="B199" s="9"/>
      <c r="C199" s="9">
        <v>54.396599999999999</v>
      </c>
      <c r="D199" s="39">
        <v>2</v>
      </c>
      <c r="E199" s="13">
        <f t="shared" si="3"/>
        <v>0.21249999999999999</v>
      </c>
    </row>
    <row r="200" spans="1:5" x14ac:dyDescent="0.3">
      <c r="A200" s="9">
        <v>86.97</v>
      </c>
      <c r="B200" s="9"/>
      <c r="C200" s="9">
        <v>-48.703200000000002</v>
      </c>
      <c r="D200" s="39">
        <v>3</v>
      </c>
      <c r="E200" s="13">
        <f t="shared" si="3"/>
        <v>-0.56000000000000005</v>
      </c>
    </row>
    <row r="201" spans="1:5" x14ac:dyDescent="0.3">
      <c r="A201" s="9">
        <v>7.56</v>
      </c>
      <c r="B201" s="9"/>
      <c r="C201" s="9">
        <v>0.3024</v>
      </c>
      <c r="D201" s="39">
        <v>6</v>
      </c>
      <c r="E201" s="13">
        <f t="shared" si="3"/>
        <v>0.04</v>
      </c>
    </row>
    <row r="202" spans="1:5" x14ac:dyDescent="0.3">
      <c r="A202" s="9">
        <v>208.56</v>
      </c>
      <c r="B202" s="9"/>
      <c r="C202" s="9">
        <v>52.14</v>
      </c>
      <c r="D202" s="39">
        <v>6</v>
      </c>
      <c r="E202" s="13">
        <f t="shared" si="3"/>
        <v>0.25</v>
      </c>
    </row>
    <row r="203" spans="1:5" x14ac:dyDescent="0.3">
      <c r="A203" s="9">
        <v>32.4</v>
      </c>
      <c r="B203" s="9"/>
      <c r="C203" s="9">
        <v>15.552</v>
      </c>
      <c r="D203" s="39">
        <v>5</v>
      </c>
      <c r="E203" s="13">
        <f t="shared" si="3"/>
        <v>0.48</v>
      </c>
    </row>
    <row r="204" spans="1:5" x14ac:dyDescent="0.3">
      <c r="A204" s="9">
        <v>319.41000000000003</v>
      </c>
      <c r="B204" s="9"/>
      <c r="C204" s="9">
        <v>7.0979999999999999</v>
      </c>
      <c r="D204" s="39">
        <v>5</v>
      </c>
      <c r="E204" s="13">
        <f t="shared" si="3"/>
        <v>2.222222222222222E-2</v>
      </c>
    </row>
    <row r="205" spans="1:5" x14ac:dyDescent="0.3">
      <c r="A205" s="9">
        <v>14.56</v>
      </c>
      <c r="B205" s="9"/>
      <c r="C205" s="9">
        <v>6.9888000000000003</v>
      </c>
      <c r="D205" s="39">
        <v>2</v>
      </c>
      <c r="E205" s="13">
        <f t="shared" si="3"/>
        <v>0.48</v>
      </c>
    </row>
    <row r="206" spans="1:5" x14ac:dyDescent="0.3">
      <c r="A206" s="9">
        <v>30</v>
      </c>
      <c r="B206" s="9"/>
      <c r="C206" s="9">
        <v>3.3</v>
      </c>
      <c r="D206" s="39">
        <v>2</v>
      </c>
      <c r="E206" s="13">
        <f t="shared" si="3"/>
        <v>0.11</v>
      </c>
    </row>
    <row r="207" spans="1:5" x14ac:dyDescent="0.3">
      <c r="A207" s="9">
        <v>48.48</v>
      </c>
      <c r="B207" s="9"/>
      <c r="C207" s="9">
        <v>16.361999999999998</v>
      </c>
      <c r="D207" s="39">
        <v>4</v>
      </c>
      <c r="E207" s="13">
        <f t="shared" si="3"/>
        <v>0.33749999999999997</v>
      </c>
    </row>
    <row r="208" spans="1:5" x14ac:dyDescent="0.3">
      <c r="A208" s="9">
        <v>1.68</v>
      </c>
      <c r="B208" s="9"/>
      <c r="C208" s="9">
        <v>0.84</v>
      </c>
      <c r="D208" s="39">
        <v>1</v>
      </c>
      <c r="E208" s="13">
        <f t="shared" si="3"/>
        <v>0.5</v>
      </c>
    </row>
    <row r="209" spans="1:5" x14ac:dyDescent="0.3">
      <c r="A209" s="9">
        <v>254.05799999999999</v>
      </c>
      <c r="B209" s="9"/>
      <c r="C209" s="9">
        <v>-169.37200000000001</v>
      </c>
      <c r="D209" s="39">
        <v>7</v>
      </c>
      <c r="E209" s="13">
        <f t="shared" si="3"/>
        <v>-0.66666666666666674</v>
      </c>
    </row>
    <row r="210" spans="1:5" x14ac:dyDescent="0.3">
      <c r="A210" s="9">
        <v>194.52799999999999</v>
      </c>
      <c r="B210" s="9"/>
      <c r="C210" s="9">
        <v>24.315999999999999</v>
      </c>
      <c r="D210" s="39">
        <v>2</v>
      </c>
      <c r="E210" s="13">
        <f t="shared" si="3"/>
        <v>0.125</v>
      </c>
    </row>
    <row r="211" spans="1:5" x14ac:dyDescent="0.3">
      <c r="A211" s="9">
        <v>961.48</v>
      </c>
      <c r="B211" s="9"/>
      <c r="C211" s="9">
        <v>-204.31450000000001</v>
      </c>
      <c r="D211" s="39">
        <v>5</v>
      </c>
      <c r="E211" s="13">
        <f t="shared" si="3"/>
        <v>-0.21249999999999999</v>
      </c>
    </row>
    <row r="212" spans="1:5" x14ac:dyDescent="0.3">
      <c r="A212" s="9">
        <v>27.68</v>
      </c>
      <c r="B212" s="9"/>
      <c r="C212" s="9">
        <v>9.6880000000000006</v>
      </c>
      <c r="D212" s="39">
        <v>2</v>
      </c>
      <c r="E212" s="13">
        <f t="shared" si="3"/>
        <v>0.35000000000000003</v>
      </c>
    </row>
    <row r="213" spans="1:5" x14ac:dyDescent="0.3">
      <c r="A213" s="9">
        <v>14.62</v>
      </c>
      <c r="B213" s="9"/>
      <c r="C213" s="9">
        <v>6.8714000000000004</v>
      </c>
      <c r="D213" s="39">
        <v>2</v>
      </c>
      <c r="E213" s="13">
        <f t="shared" si="3"/>
        <v>0.47000000000000003</v>
      </c>
    </row>
    <row r="214" spans="1:5" x14ac:dyDescent="0.3">
      <c r="A214" s="9">
        <v>944.93</v>
      </c>
      <c r="B214" s="9"/>
      <c r="C214" s="9">
        <v>236.23249999999999</v>
      </c>
      <c r="D214" s="39">
        <v>7</v>
      </c>
      <c r="E214" s="13">
        <f t="shared" si="3"/>
        <v>0.25</v>
      </c>
    </row>
    <row r="215" spans="1:5" x14ac:dyDescent="0.3">
      <c r="A215" s="9">
        <v>384.45</v>
      </c>
      <c r="B215" s="9"/>
      <c r="C215" s="9">
        <v>103.8015</v>
      </c>
      <c r="D215" s="39">
        <v>11</v>
      </c>
      <c r="E215" s="13">
        <f t="shared" si="3"/>
        <v>0.27</v>
      </c>
    </row>
    <row r="216" spans="1:5" x14ac:dyDescent="0.3">
      <c r="A216" s="9">
        <v>149.97</v>
      </c>
      <c r="B216" s="9"/>
      <c r="C216" s="9">
        <v>5.9988000000000001</v>
      </c>
      <c r="D216" s="39">
        <v>3</v>
      </c>
      <c r="E216" s="13">
        <f t="shared" si="3"/>
        <v>0.04</v>
      </c>
    </row>
    <row r="217" spans="1:5" x14ac:dyDescent="0.3">
      <c r="A217" s="9">
        <v>1951.84</v>
      </c>
      <c r="B217" s="9"/>
      <c r="C217" s="9">
        <v>585.55200000000002</v>
      </c>
      <c r="D217" s="39">
        <v>8</v>
      </c>
      <c r="E217" s="13">
        <f t="shared" si="3"/>
        <v>0.30000000000000004</v>
      </c>
    </row>
    <row r="218" spans="1:5" x14ac:dyDescent="0.3">
      <c r="A218" s="9">
        <v>171.55</v>
      </c>
      <c r="B218" s="9"/>
      <c r="C218" s="9">
        <v>80.628500000000003</v>
      </c>
      <c r="D218" s="39">
        <v>5</v>
      </c>
      <c r="E218" s="13">
        <f t="shared" si="3"/>
        <v>0.47</v>
      </c>
    </row>
    <row r="219" spans="1:5" x14ac:dyDescent="0.3">
      <c r="A219" s="9">
        <v>12.22</v>
      </c>
      <c r="B219" s="9"/>
      <c r="C219" s="9">
        <v>3.6659999999999999</v>
      </c>
      <c r="D219" s="39">
        <v>1</v>
      </c>
      <c r="E219" s="13">
        <f t="shared" si="3"/>
        <v>0.3</v>
      </c>
    </row>
    <row r="220" spans="1:5" x14ac:dyDescent="0.3">
      <c r="A220" s="9">
        <v>194.94</v>
      </c>
      <c r="B220" s="9"/>
      <c r="C220" s="9">
        <v>23.392800000000001</v>
      </c>
      <c r="D220" s="39">
        <v>3</v>
      </c>
      <c r="E220" s="13">
        <f t="shared" si="3"/>
        <v>0.12000000000000001</v>
      </c>
    </row>
    <row r="221" spans="1:5" x14ac:dyDescent="0.3">
      <c r="A221" s="9">
        <v>70.95</v>
      </c>
      <c r="B221" s="9"/>
      <c r="C221" s="9">
        <v>20.575500000000002</v>
      </c>
      <c r="D221" s="39">
        <v>3</v>
      </c>
      <c r="E221" s="13">
        <f t="shared" si="3"/>
        <v>0.29000000000000004</v>
      </c>
    </row>
    <row r="222" spans="1:5" x14ac:dyDescent="0.3">
      <c r="A222" s="9">
        <v>91.36</v>
      </c>
      <c r="B222" s="9"/>
      <c r="C222" s="9">
        <v>42.025599999999997</v>
      </c>
      <c r="D222" s="39">
        <v>4</v>
      </c>
      <c r="E222" s="13">
        <f t="shared" si="3"/>
        <v>0.45999999999999996</v>
      </c>
    </row>
    <row r="223" spans="1:5" x14ac:dyDescent="0.3">
      <c r="A223" s="9">
        <v>242.94</v>
      </c>
      <c r="B223" s="9"/>
      <c r="C223" s="9">
        <v>29.152799999999999</v>
      </c>
      <c r="D223" s="39">
        <v>3</v>
      </c>
      <c r="E223" s="13">
        <f t="shared" si="3"/>
        <v>0.12</v>
      </c>
    </row>
    <row r="224" spans="1:5" x14ac:dyDescent="0.3">
      <c r="A224" s="9">
        <v>22.05</v>
      </c>
      <c r="B224" s="9"/>
      <c r="C224" s="9">
        <v>10.584</v>
      </c>
      <c r="D224" s="39">
        <v>7</v>
      </c>
      <c r="E224" s="13">
        <f t="shared" si="3"/>
        <v>0.48</v>
      </c>
    </row>
    <row r="225" spans="1:5" x14ac:dyDescent="0.3">
      <c r="A225" s="9">
        <v>1097.5440000000001</v>
      </c>
      <c r="B225" s="9"/>
      <c r="C225" s="9">
        <v>123.47369999999999</v>
      </c>
      <c r="D225" s="39">
        <v>7</v>
      </c>
      <c r="E225" s="13">
        <f t="shared" si="3"/>
        <v>0.11249999999999999</v>
      </c>
    </row>
    <row r="226" spans="1:5" x14ac:dyDescent="0.3">
      <c r="A226" s="9">
        <v>190.92</v>
      </c>
      <c r="B226" s="9"/>
      <c r="C226" s="9">
        <v>-147.96299999999999</v>
      </c>
      <c r="D226" s="39">
        <v>5</v>
      </c>
      <c r="E226" s="13">
        <f t="shared" si="3"/>
        <v>-0.77500000000000002</v>
      </c>
    </row>
    <row r="227" spans="1:5" x14ac:dyDescent="0.3">
      <c r="A227" s="9">
        <v>45.98</v>
      </c>
      <c r="B227" s="9"/>
      <c r="C227" s="9">
        <v>19.7714</v>
      </c>
      <c r="D227" s="39">
        <v>2</v>
      </c>
      <c r="E227" s="13">
        <f t="shared" si="3"/>
        <v>0.43000000000000005</v>
      </c>
    </row>
    <row r="228" spans="1:5" x14ac:dyDescent="0.3">
      <c r="A228" s="9">
        <v>17.46</v>
      </c>
      <c r="B228" s="9"/>
      <c r="C228" s="9">
        <v>8.2062000000000008</v>
      </c>
      <c r="D228" s="39">
        <v>2</v>
      </c>
      <c r="E228" s="13">
        <f t="shared" si="3"/>
        <v>0.47000000000000003</v>
      </c>
    </row>
    <row r="229" spans="1:5" x14ac:dyDescent="0.3">
      <c r="A229" s="9">
        <v>75.88</v>
      </c>
      <c r="B229" s="9"/>
      <c r="C229" s="9">
        <v>35.663600000000002</v>
      </c>
      <c r="D229" s="39">
        <v>2</v>
      </c>
      <c r="E229" s="13">
        <f t="shared" si="3"/>
        <v>0.47000000000000008</v>
      </c>
    </row>
    <row r="230" spans="1:5" x14ac:dyDescent="0.3">
      <c r="A230" s="9">
        <v>11.648</v>
      </c>
      <c r="B230" s="9"/>
      <c r="C230" s="9">
        <v>4.2224000000000004</v>
      </c>
      <c r="D230" s="39">
        <v>2</v>
      </c>
      <c r="E230" s="13">
        <f t="shared" si="3"/>
        <v>0.36250000000000004</v>
      </c>
    </row>
    <row r="231" spans="1:5" x14ac:dyDescent="0.3">
      <c r="A231" s="9">
        <v>90.57</v>
      </c>
      <c r="B231" s="9"/>
      <c r="C231" s="9">
        <v>11.774100000000001</v>
      </c>
      <c r="D231" s="39">
        <v>3</v>
      </c>
      <c r="E231" s="13">
        <f t="shared" si="3"/>
        <v>0.13</v>
      </c>
    </row>
    <row r="232" spans="1:5" x14ac:dyDescent="0.3">
      <c r="A232" s="9">
        <v>328.22399999999999</v>
      </c>
      <c r="B232" s="9"/>
      <c r="C232" s="9">
        <v>28.7196</v>
      </c>
      <c r="D232" s="39">
        <v>4</v>
      </c>
      <c r="E232" s="13">
        <f t="shared" si="3"/>
        <v>8.7500000000000008E-2</v>
      </c>
    </row>
    <row r="233" spans="1:5" x14ac:dyDescent="0.3">
      <c r="A233" s="9">
        <v>119.616</v>
      </c>
      <c r="B233" s="9"/>
      <c r="C233" s="9">
        <v>40.370399999999997</v>
      </c>
      <c r="D233" s="39">
        <v>8</v>
      </c>
      <c r="E233" s="13">
        <f t="shared" si="3"/>
        <v>0.33749999999999997</v>
      </c>
    </row>
    <row r="234" spans="1:5" x14ac:dyDescent="0.3">
      <c r="A234" s="9">
        <v>255.76</v>
      </c>
      <c r="B234" s="9"/>
      <c r="C234" s="9">
        <v>81.843199999999996</v>
      </c>
      <c r="D234" s="39">
        <v>4</v>
      </c>
      <c r="E234" s="13">
        <f t="shared" si="3"/>
        <v>0.32</v>
      </c>
    </row>
    <row r="235" spans="1:5" x14ac:dyDescent="0.3">
      <c r="A235" s="9">
        <v>241.56800000000001</v>
      </c>
      <c r="B235" s="9"/>
      <c r="C235" s="9">
        <v>18.117599999999999</v>
      </c>
      <c r="D235" s="39">
        <v>2</v>
      </c>
      <c r="E235" s="13">
        <f t="shared" si="3"/>
        <v>7.4999999999999997E-2</v>
      </c>
    </row>
    <row r="236" spans="1:5" x14ac:dyDescent="0.3">
      <c r="A236" s="9">
        <v>69.3</v>
      </c>
      <c r="B236" s="9"/>
      <c r="C236" s="9">
        <v>22.869</v>
      </c>
      <c r="D236" s="39">
        <v>9</v>
      </c>
      <c r="E236" s="13">
        <f t="shared" si="3"/>
        <v>0.33</v>
      </c>
    </row>
    <row r="237" spans="1:5" x14ac:dyDescent="0.3">
      <c r="A237" s="9">
        <v>208.16</v>
      </c>
      <c r="B237" s="9"/>
      <c r="C237" s="9">
        <v>56.203200000000002</v>
      </c>
      <c r="D237" s="39">
        <v>1</v>
      </c>
      <c r="E237" s="13">
        <f t="shared" si="3"/>
        <v>0.27</v>
      </c>
    </row>
    <row r="238" spans="1:5" x14ac:dyDescent="0.3">
      <c r="A238" s="9">
        <v>16.739999999999998</v>
      </c>
      <c r="B238" s="9"/>
      <c r="C238" s="9">
        <v>8.0351999999999997</v>
      </c>
      <c r="D238" s="39">
        <v>3</v>
      </c>
      <c r="E238" s="13">
        <f t="shared" si="3"/>
        <v>0.48000000000000004</v>
      </c>
    </row>
    <row r="239" spans="1:5" x14ac:dyDescent="0.3">
      <c r="A239" s="9">
        <v>714.3</v>
      </c>
      <c r="B239" s="9"/>
      <c r="C239" s="9">
        <v>207.14699999999999</v>
      </c>
      <c r="D239" s="39">
        <v>5</v>
      </c>
      <c r="E239" s="13">
        <f t="shared" si="3"/>
        <v>0.28999999999999998</v>
      </c>
    </row>
    <row r="240" spans="1:5" x14ac:dyDescent="0.3">
      <c r="A240" s="9">
        <v>75.959999999999994</v>
      </c>
      <c r="B240" s="9"/>
      <c r="C240" s="9">
        <v>22.788</v>
      </c>
      <c r="D240" s="39">
        <v>2</v>
      </c>
      <c r="E240" s="13">
        <f t="shared" si="3"/>
        <v>0.30000000000000004</v>
      </c>
    </row>
    <row r="241" spans="1:5" x14ac:dyDescent="0.3">
      <c r="A241" s="9">
        <v>27.24</v>
      </c>
      <c r="B241" s="9"/>
      <c r="C241" s="9">
        <v>13.3476</v>
      </c>
      <c r="D241" s="39">
        <v>6</v>
      </c>
      <c r="E241" s="13">
        <f t="shared" si="3"/>
        <v>0.49000000000000005</v>
      </c>
    </row>
    <row r="242" spans="1:5" x14ac:dyDescent="0.3">
      <c r="A242" s="9">
        <v>6.79</v>
      </c>
      <c r="B242" s="9"/>
      <c r="C242" s="9">
        <v>2.3086000000000002</v>
      </c>
      <c r="D242" s="39">
        <v>1</v>
      </c>
      <c r="E242" s="13">
        <f t="shared" si="3"/>
        <v>0.34</v>
      </c>
    </row>
    <row r="243" spans="1:5" x14ac:dyDescent="0.3">
      <c r="A243" s="9">
        <v>24.56</v>
      </c>
      <c r="B243" s="9"/>
      <c r="C243" s="9">
        <v>11.543200000000001</v>
      </c>
      <c r="D243" s="39">
        <v>2</v>
      </c>
      <c r="E243" s="13">
        <f t="shared" si="3"/>
        <v>0.47000000000000003</v>
      </c>
    </row>
    <row r="244" spans="1:5" x14ac:dyDescent="0.3">
      <c r="A244" s="9">
        <v>3.048</v>
      </c>
      <c r="B244" s="9"/>
      <c r="C244" s="9">
        <v>1.0668</v>
      </c>
      <c r="D244" s="39">
        <v>1</v>
      </c>
      <c r="E244" s="13">
        <f t="shared" si="3"/>
        <v>0.35</v>
      </c>
    </row>
    <row r="245" spans="1:5" x14ac:dyDescent="0.3">
      <c r="A245" s="9">
        <v>49.12</v>
      </c>
      <c r="B245" s="9"/>
      <c r="C245" s="9">
        <v>23.086400000000001</v>
      </c>
      <c r="D245" s="39">
        <v>4</v>
      </c>
      <c r="E245" s="13">
        <f t="shared" si="3"/>
        <v>0.47000000000000003</v>
      </c>
    </row>
    <row r="246" spans="1:5" x14ac:dyDescent="0.3">
      <c r="A246" s="9">
        <v>4355.1679999999997</v>
      </c>
      <c r="B246" s="9"/>
      <c r="C246" s="9">
        <v>1415.4295999999999</v>
      </c>
      <c r="D246" s="39">
        <v>4</v>
      </c>
      <c r="E246" s="13">
        <f t="shared" si="3"/>
        <v>0.32500000000000001</v>
      </c>
    </row>
    <row r="247" spans="1:5" x14ac:dyDescent="0.3">
      <c r="A247" s="9">
        <v>23.92</v>
      </c>
      <c r="B247" s="9"/>
      <c r="C247" s="9">
        <v>11.720800000000001</v>
      </c>
      <c r="D247" s="39">
        <v>4</v>
      </c>
      <c r="E247" s="13">
        <f t="shared" si="3"/>
        <v>0.49</v>
      </c>
    </row>
    <row r="248" spans="1:5" x14ac:dyDescent="0.3">
      <c r="A248" s="9">
        <v>36.24</v>
      </c>
      <c r="B248" s="9"/>
      <c r="C248" s="9">
        <v>11.324999999999999</v>
      </c>
      <c r="D248" s="39">
        <v>5</v>
      </c>
      <c r="E248" s="13">
        <f t="shared" si="3"/>
        <v>0.31249999999999994</v>
      </c>
    </row>
    <row r="249" spans="1:5" x14ac:dyDescent="0.3">
      <c r="A249" s="9">
        <v>93.06</v>
      </c>
      <c r="B249" s="9"/>
      <c r="C249" s="9">
        <v>26.056799999999999</v>
      </c>
      <c r="D249" s="39">
        <v>6</v>
      </c>
      <c r="E249" s="13">
        <f t="shared" si="3"/>
        <v>0.27999999999999997</v>
      </c>
    </row>
    <row r="250" spans="1:5" x14ac:dyDescent="0.3">
      <c r="A250" s="9">
        <v>302.37599999999998</v>
      </c>
      <c r="B250" s="9"/>
      <c r="C250" s="9">
        <v>22.6782</v>
      </c>
      <c r="D250" s="39">
        <v>3</v>
      </c>
      <c r="E250" s="13">
        <f t="shared" si="3"/>
        <v>7.5000000000000011E-2</v>
      </c>
    </row>
    <row r="251" spans="1:5" x14ac:dyDescent="0.3">
      <c r="A251" s="9">
        <v>50.96</v>
      </c>
      <c r="B251" s="9"/>
      <c r="C251" s="9">
        <v>25.48</v>
      </c>
      <c r="D251" s="39">
        <v>7</v>
      </c>
      <c r="E251" s="13">
        <f t="shared" si="3"/>
        <v>0.5</v>
      </c>
    </row>
    <row r="252" spans="1:5" x14ac:dyDescent="0.3">
      <c r="A252" s="9">
        <v>49.536000000000001</v>
      </c>
      <c r="B252" s="9"/>
      <c r="C252" s="9">
        <v>17.337599999999998</v>
      </c>
      <c r="D252" s="39">
        <v>3</v>
      </c>
      <c r="E252" s="13">
        <f t="shared" si="3"/>
        <v>0.35</v>
      </c>
    </row>
    <row r="253" spans="1:5" x14ac:dyDescent="0.3">
      <c r="A253" s="9">
        <v>19.46</v>
      </c>
      <c r="B253" s="9"/>
      <c r="C253" s="9">
        <v>5.0595999999999997</v>
      </c>
      <c r="D253" s="39">
        <v>7</v>
      </c>
      <c r="E253" s="13">
        <f t="shared" si="3"/>
        <v>0.25999999999999995</v>
      </c>
    </row>
    <row r="254" spans="1:5" x14ac:dyDescent="0.3">
      <c r="A254" s="9">
        <v>60.34</v>
      </c>
      <c r="B254" s="9"/>
      <c r="C254" s="9">
        <v>15.6884</v>
      </c>
      <c r="D254" s="39">
        <v>7</v>
      </c>
      <c r="E254" s="13">
        <f t="shared" si="3"/>
        <v>0.25999999999999995</v>
      </c>
    </row>
    <row r="255" spans="1:5" x14ac:dyDescent="0.3">
      <c r="A255" s="9">
        <v>388.70400000000001</v>
      </c>
      <c r="B255" s="9"/>
      <c r="C255" s="9">
        <v>-4.8587999999999996</v>
      </c>
      <c r="D255" s="39">
        <v>6</v>
      </c>
      <c r="E255" s="13">
        <f t="shared" si="3"/>
        <v>-1.2499999999999999E-2</v>
      </c>
    </row>
    <row r="256" spans="1:5" x14ac:dyDescent="0.3">
      <c r="A256" s="9">
        <v>8.26</v>
      </c>
      <c r="B256" s="9"/>
      <c r="C256" s="9">
        <v>3.7995999999999999</v>
      </c>
      <c r="D256" s="39">
        <v>2</v>
      </c>
      <c r="E256" s="13">
        <f t="shared" si="3"/>
        <v>0.46</v>
      </c>
    </row>
    <row r="257" spans="1:5" x14ac:dyDescent="0.3">
      <c r="A257" s="9">
        <v>17.04</v>
      </c>
      <c r="B257" s="9"/>
      <c r="C257" s="9">
        <v>6.9863999999999997</v>
      </c>
      <c r="D257" s="39">
        <v>4</v>
      </c>
      <c r="E257" s="13">
        <f t="shared" si="3"/>
        <v>0.41000000000000003</v>
      </c>
    </row>
    <row r="258" spans="1:5" x14ac:dyDescent="0.3">
      <c r="A258" s="9">
        <v>34.4</v>
      </c>
      <c r="B258" s="9"/>
      <c r="C258" s="9">
        <v>15.824</v>
      </c>
      <c r="D258" s="39">
        <v>5</v>
      </c>
      <c r="E258" s="13">
        <f t="shared" si="3"/>
        <v>0.46</v>
      </c>
    </row>
    <row r="259" spans="1:5" x14ac:dyDescent="0.3">
      <c r="A259" s="9">
        <v>14.62</v>
      </c>
      <c r="B259" s="9"/>
      <c r="C259" s="9">
        <v>6.8714000000000004</v>
      </c>
      <c r="D259" s="39">
        <v>2</v>
      </c>
      <c r="E259" s="13">
        <f t="shared" si="3"/>
        <v>0.47000000000000003</v>
      </c>
    </row>
    <row r="260" spans="1:5" x14ac:dyDescent="0.3">
      <c r="A260" s="9">
        <v>32.4</v>
      </c>
      <c r="B260" s="9"/>
      <c r="C260" s="9">
        <v>15.552</v>
      </c>
      <c r="D260" s="39">
        <v>5</v>
      </c>
      <c r="E260" s="13">
        <f t="shared" si="3"/>
        <v>0.48</v>
      </c>
    </row>
    <row r="261" spans="1:5" x14ac:dyDescent="0.3">
      <c r="A261" s="9">
        <v>1082.48</v>
      </c>
      <c r="B261" s="9"/>
      <c r="C261" s="9">
        <v>10.8248</v>
      </c>
      <c r="D261" s="39">
        <v>8</v>
      </c>
      <c r="E261" s="13">
        <f t="shared" si="3"/>
        <v>0.01</v>
      </c>
    </row>
    <row r="262" spans="1:5" x14ac:dyDescent="0.3">
      <c r="A262" s="9">
        <v>56.91</v>
      </c>
      <c r="B262" s="9"/>
      <c r="C262" s="9">
        <v>27.316800000000001</v>
      </c>
      <c r="D262" s="39">
        <v>3</v>
      </c>
      <c r="E262" s="13">
        <f t="shared" ref="E262:E325" si="4">(C262/A262)</f>
        <v>0.48000000000000004</v>
      </c>
    </row>
    <row r="263" spans="1:5" x14ac:dyDescent="0.3">
      <c r="A263" s="9">
        <v>77.599999999999994</v>
      </c>
      <c r="B263" s="9"/>
      <c r="C263" s="9">
        <v>38.024000000000001</v>
      </c>
      <c r="D263" s="39">
        <v>4</v>
      </c>
      <c r="E263" s="13">
        <f t="shared" si="4"/>
        <v>0.49000000000000005</v>
      </c>
    </row>
    <row r="264" spans="1:5" x14ac:dyDescent="0.3">
      <c r="A264" s="9">
        <v>14.28</v>
      </c>
      <c r="B264" s="9"/>
      <c r="C264" s="9">
        <v>6.5688000000000004</v>
      </c>
      <c r="D264" s="39">
        <v>1</v>
      </c>
      <c r="E264" s="13">
        <f t="shared" si="4"/>
        <v>0.46000000000000008</v>
      </c>
    </row>
    <row r="265" spans="1:5" x14ac:dyDescent="0.3">
      <c r="A265" s="9">
        <v>15.135999999999999</v>
      </c>
      <c r="B265" s="9"/>
      <c r="C265" s="9">
        <v>3.5948000000000002</v>
      </c>
      <c r="D265" s="39">
        <v>4</v>
      </c>
      <c r="E265" s="13">
        <f t="shared" si="4"/>
        <v>0.23750000000000002</v>
      </c>
    </row>
    <row r="266" spans="1:5" x14ac:dyDescent="0.3">
      <c r="A266" s="9">
        <v>466.76799999999997</v>
      </c>
      <c r="B266" s="9"/>
      <c r="C266" s="9">
        <v>52.511400000000002</v>
      </c>
      <c r="D266" s="39">
        <v>2</v>
      </c>
      <c r="E266" s="13">
        <f t="shared" si="4"/>
        <v>0.11250000000000002</v>
      </c>
    </row>
    <row r="267" spans="1:5" x14ac:dyDescent="0.3">
      <c r="A267" s="9">
        <v>15.231999999999999</v>
      </c>
      <c r="B267" s="9"/>
      <c r="C267" s="9">
        <v>1.7136</v>
      </c>
      <c r="D267" s="39">
        <v>1</v>
      </c>
      <c r="E267" s="13">
        <f t="shared" si="4"/>
        <v>0.1125</v>
      </c>
    </row>
    <row r="268" spans="1:5" x14ac:dyDescent="0.3">
      <c r="A268" s="9">
        <v>6.2640000000000002</v>
      </c>
      <c r="B268" s="9"/>
      <c r="C268" s="9">
        <v>2.0358000000000001</v>
      </c>
      <c r="D268" s="39">
        <v>3</v>
      </c>
      <c r="E268" s="13">
        <f t="shared" si="4"/>
        <v>0.32500000000000001</v>
      </c>
    </row>
    <row r="269" spans="1:5" x14ac:dyDescent="0.3">
      <c r="A269" s="9">
        <v>20.04</v>
      </c>
      <c r="B269" s="9"/>
      <c r="C269" s="9">
        <v>9.6191999999999993</v>
      </c>
      <c r="D269" s="39">
        <v>3</v>
      </c>
      <c r="E269" s="13">
        <f t="shared" si="4"/>
        <v>0.48</v>
      </c>
    </row>
    <row r="270" spans="1:5" x14ac:dyDescent="0.3">
      <c r="A270" s="9">
        <v>35.44</v>
      </c>
      <c r="B270" s="9"/>
      <c r="C270" s="9">
        <v>16.6568</v>
      </c>
      <c r="D270" s="39">
        <v>1</v>
      </c>
      <c r="E270" s="13">
        <f t="shared" si="4"/>
        <v>0.47000000000000003</v>
      </c>
    </row>
    <row r="271" spans="1:5" x14ac:dyDescent="0.3">
      <c r="A271" s="9">
        <v>11.52</v>
      </c>
      <c r="B271" s="9"/>
      <c r="C271" s="9">
        <v>3.456</v>
      </c>
      <c r="D271" s="39">
        <v>4</v>
      </c>
      <c r="E271" s="13">
        <f t="shared" si="4"/>
        <v>0.3</v>
      </c>
    </row>
    <row r="272" spans="1:5" x14ac:dyDescent="0.3">
      <c r="A272" s="9">
        <v>4.0199999999999996</v>
      </c>
      <c r="B272" s="9"/>
      <c r="C272" s="9">
        <v>1.9698</v>
      </c>
      <c r="D272" s="39">
        <v>2</v>
      </c>
      <c r="E272" s="13">
        <f t="shared" si="4"/>
        <v>0.49000000000000005</v>
      </c>
    </row>
    <row r="273" spans="1:5" x14ac:dyDescent="0.3">
      <c r="A273" s="9">
        <v>76.176000000000002</v>
      </c>
      <c r="B273" s="9"/>
      <c r="C273" s="9">
        <v>26.6616</v>
      </c>
      <c r="D273" s="39">
        <v>3</v>
      </c>
      <c r="E273" s="13">
        <f t="shared" si="4"/>
        <v>0.35</v>
      </c>
    </row>
    <row r="274" spans="1:5" x14ac:dyDescent="0.3">
      <c r="A274" s="9">
        <v>65.88</v>
      </c>
      <c r="B274" s="9"/>
      <c r="C274" s="9">
        <v>18.446400000000001</v>
      </c>
      <c r="D274" s="39">
        <v>6</v>
      </c>
      <c r="E274" s="13">
        <f t="shared" si="4"/>
        <v>0.28000000000000003</v>
      </c>
    </row>
    <row r="275" spans="1:5" x14ac:dyDescent="0.3">
      <c r="A275" s="9">
        <v>43.12</v>
      </c>
      <c r="B275" s="9"/>
      <c r="C275" s="9">
        <v>20.697600000000001</v>
      </c>
      <c r="D275" s="39">
        <v>14</v>
      </c>
      <c r="E275" s="13">
        <f t="shared" si="4"/>
        <v>0.48000000000000004</v>
      </c>
    </row>
    <row r="276" spans="1:5" x14ac:dyDescent="0.3">
      <c r="A276" s="9">
        <v>7.61</v>
      </c>
      <c r="B276" s="9"/>
      <c r="C276" s="9">
        <v>3.5767000000000002</v>
      </c>
      <c r="D276" s="39">
        <v>1</v>
      </c>
      <c r="E276" s="13">
        <f t="shared" si="4"/>
        <v>0.47000000000000003</v>
      </c>
    </row>
    <row r="277" spans="1:5" x14ac:dyDescent="0.3">
      <c r="A277" s="9">
        <v>3347.37</v>
      </c>
      <c r="B277" s="9"/>
      <c r="C277" s="9">
        <v>636.00030000000004</v>
      </c>
      <c r="D277" s="39">
        <v>13</v>
      </c>
      <c r="E277" s="13">
        <f t="shared" si="4"/>
        <v>0.19000000000000003</v>
      </c>
    </row>
    <row r="278" spans="1:5" x14ac:dyDescent="0.3">
      <c r="A278" s="9">
        <v>80.58</v>
      </c>
      <c r="B278" s="9"/>
      <c r="C278" s="9">
        <v>22.5624</v>
      </c>
      <c r="D278" s="39">
        <v>6</v>
      </c>
      <c r="E278" s="13">
        <f t="shared" si="4"/>
        <v>0.28000000000000003</v>
      </c>
    </row>
    <row r="279" spans="1:5" x14ac:dyDescent="0.3">
      <c r="A279" s="9">
        <v>361.92</v>
      </c>
      <c r="B279" s="9"/>
      <c r="C279" s="9">
        <v>162.864</v>
      </c>
      <c r="D279" s="39">
        <v>4</v>
      </c>
      <c r="E279" s="13">
        <f t="shared" si="4"/>
        <v>0.45</v>
      </c>
    </row>
    <row r="280" spans="1:5" x14ac:dyDescent="0.3">
      <c r="A280" s="9">
        <v>1007.979</v>
      </c>
      <c r="B280" s="9"/>
      <c r="C280" s="9">
        <v>43.199100000000001</v>
      </c>
      <c r="D280" s="39">
        <v>3</v>
      </c>
      <c r="E280" s="13">
        <f t="shared" si="4"/>
        <v>4.2857142857142858E-2</v>
      </c>
    </row>
    <row r="281" spans="1:5" x14ac:dyDescent="0.3">
      <c r="A281" s="9">
        <v>313.488</v>
      </c>
      <c r="B281" s="9"/>
      <c r="C281" s="9">
        <v>113.63939999999999</v>
      </c>
      <c r="D281" s="39">
        <v>7</v>
      </c>
      <c r="E281" s="13">
        <f t="shared" si="4"/>
        <v>0.36249999999999999</v>
      </c>
    </row>
    <row r="282" spans="1:5" x14ac:dyDescent="0.3">
      <c r="A282" s="9">
        <v>383.8</v>
      </c>
      <c r="B282" s="9"/>
      <c r="C282" s="9">
        <v>38.380000000000003</v>
      </c>
      <c r="D282" s="39">
        <v>5</v>
      </c>
      <c r="E282" s="13">
        <f t="shared" si="4"/>
        <v>0.1</v>
      </c>
    </row>
    <row r="283" spans="1:5" x14ac:dyDescent="0.3">
      <c r="A283" s="9">
        <v>77.88</v>
      </c>
      <c r="B283" s="9"/>
      <c r="C283" s="9">
        <v>22.5852</v>
      </c>
      <c r="D283" s="39">
        <v>6</v>
      </c>
      <c r="E283" s="13">
        <f t="shared" si="4"/>
        <v>0.29000000000000004</v>
      </c>
    </row>
    <row r="284" spans="1:5" x14ac:dyDescent="0.3">
      <c r="A284" s="9">
        <v>261.95999999999998</v>
      </c>
      <c r="B284" s="9"/>
      <c r="C284" s="9">
        <v>41.913600000000002</v>
      </c>
      <c r="D284" s="39">
        <v>2</v>
      </c>
      <c r="E284" s="13">
        <f t="shared" si="4"/>
        <v>0.16000000000000003</v>
      </c>
    </row>
    <row r="285" spans="1:5" x14ac:dyDescent="0.3">
      <c r="A285" s="9">
        <v>731.94</v>
      </c>
      <c r="B285" s="9"/>
      <c r="C285" s="9">
        <v>219.58199999999999</v>
      </c>
      <c r="D285" s="39">
        <v>3</v>
      </c>
      <c r="E285" s="13">
        <f t="shared" si="4"/>
        <v>0.3</v>
      </c>
    </row>
    <row r="286" spans="1:5" x14ac:dyDescent="0.3">
      <c r="A286" s="9">
        <v>40.200000000000003</v>
      </c>
      <c r="B286" s="9"/>
      <c r="C286" s="9">
        <v>19.295999999999999</v>
      </c>
      <c r="D286" s="39">
        <v>3</v>
      </c>
      <c r="E286" s="13">
        <f t="shared" si="4"/>
        <v>0.47999999999999993</v>
      </c>
    </row>
    <row r="287" spans="1:5" x14ac:dyDescent="0.3">
      <c r="A287" s="9">
        <v>28.4</v>
      </c>
      <c r="B287" s="9"/>
      <c r="C287" s="9">
        <v>13.348000000000001</v>
      </c>
      <c r="D287" s="39">
        <v>5</v>
      </c>
      <c r="E287" s="13">
        <f t="shared" si="4"/>
        <v>0.47000000000000003</v>
      </c>
    </row>
    <row r="288" spans="1:5" x14ac:dyDescent="0.3">
      <c r="A288" s="9">
        <v>321.56799999999998</v>
      </c>
      <c r="B288" s="9"/>
      <c r="C288" s="9">
        <v>28.1372</v>
      </c>
      <c r="D288" s="39">
        <v>2</v>
      </c>
      <c r="E288" s="13">
        <f t="shared" si="4"/>
        <v>8.7500000000000008E-2</v>
      </c>
    </row>
    <row r="289" spans="1:5" x14ac:dyDescent="0.3">
      <c r="A289" s="9">
        <v>23.2</v>
      </c>
      <c r="B289" s="9"/>
      <c r="C289" s="9">
        <v>10.44</v>
      </c>
      <c r="D289" s="39">
        <v>4</v>
      </c>
      <c r="E289" s="13">
        <f t="shared" si="4"/>
        <v>0.45</v>
      </c>
    </row>
    <row r="290" spans="1:5" x14ac:dyDescent="0.3">
      <c r="A290" s="9">
        <v>7.36</v>
      </c>
      <c r="B290" s="9"/>
      <c r="C290" s="9">
        <v>0.1472</v>
      </c>
      <c r="D290" s="39">
        <v>2</v>
      </c>
      <c r="E290" s="13">
        <f t="shared" si="4"/>
        <v>0.02</v>
      </c>
    </row>
    <row r="291" spans="1:5" x14ac:dyDescent="0.3">
      <c r="A291" s="9">
        <v>104.79</v>
      </c>
      <c r="B291" s="9"/>
      <c r="C291" s="9">
        <v>29.341200000000001</v>
      </c>
      <c r="D291" s="39">
        <v>7</v>
      </c>
      <c r="E291" s="13">
        <f t="shared" si="4"/>
        <v>0.27999999999999997</v>
      </c>
    </row>
    <row r="292" spans="1:5" x14ac:dyDescent="0.3">
      <c r="A292" s="9">
        <v>1043.92</v>
      </c>
      <c r="B292" s="9"/>
      <c r="C292" s="9">
        <v>271.41919999999999</v>
      </c>
      <c r="D292" s="39">
        <v>4</v>
      </c>
      <c r="E292" s="13">
        <f t="shared" si="4"/>
        <v>0.25999999999999995</v>
      </c>
    </row>
    <row r="293" spans="1:5" x14ac:dyDescent="0.3">
      <c r="A293" s="9">
        <v>37.223999999999997</v>
      </c>
      <c r="B293" s="9"/>
      <c r="C293" s="9">
        <v>3.7223999999999999</v>
      </c>
      <c r="D293" s="39">
        <v>3</v>
      </c>
      <c r="E293" s="13">
        <f t="shared" si="4"/>
        <v>0.1</v>
      </c>
    </row>
    <row r="294" spans="1:5" x14ac:dyDescent="0.3">
      <c r="A294" s="9">
        <v>20.015999999999998</v>
      </c>
      <c r="B294" s="9"/>
      <c r="C294" s="9">
        <v>6.2549999999999999</v>
      </c>
      <c r="D294" s="39">
        <v>3</v>
      </c>
      <c r="E294" s="13">
        <f t="shared" si="4"/>
        <v>0.3125</v>
      </c>
    </row>
    <row r="295" spans="1:5" x14ac:dyDescent="0.3">
      <c r="A295" s="9">
        <v>25.92</v>
      </c>
      <c r="B295" s="9"/>
      <c r="C295" s="9">
        <v>9.3960000000000008</v>
      </c>
      <c r="D295" s="39">
        <v>5</v>
      </c>
      <c r="E295" s="13">
        <f t="shared" si="4"/>
        <v>0.36249999999999999</v>
      </c>
    </row>
    <row r="296" spans="1:5" x14ac:dyDescent="0.3">
      <c r="A296" s="9">
        <v>419.68</v>
      </c>
      <c r="B296" s="9"/>
      <c r="C296" s="9">
        <v>-356.72800000000001</v>
      </c>
      <c r="D296" s="39">
        <v>5</v>
      </c>
      <c r="E296" s="13">
        <f t="shared" si="4"/>
        <v>-0.85</v>
      </c>
    </row>
    <row r="297" spans="1:5" x14ac:dyDescent="0.3">
      <c r="A297" s="9">
        <v>11.688000000000001</v>
      </c>
      <c r="B297" s="9"/>
      <c r="C297" s="9">
        <v>-4.6752000000000002</v>
      </c>
      <c r="D297" s="39">
        <v>3</v>
      </c>
      <c r="E297" s="13">
        <f t="shared" si="4"/>
        <v>-0.4</v>
      </c>
    </row>
    <row r="298" spans="1:5" x14ac:dyDescent="0.3">
      <c r="A298" s="9">
        <v>31.984000000000002</v>
      </c>
      <c r="B298" s="9"/>
      <c r="C298" s="9">
        <v>11.1944</v>
      </c>
      <c r="D298" s="39">
        <v>2</v>
      </c>
      <c r="E298" s="13">
        <f t="shared" si="4"/>
        <v>0.35</v>
      </c>
    </row>
    <row r="299" spans="1:5" x14ac:dyDescent="0.3">
      <c r="A299" s="9">
        <v>177.22499999999999</v>
      </c>
      <c r="B299" s="9"/>
      <c r="C299" s="9">
        <v>-120.51300000000001</v>
      </c>
      <c r="D299" s="39">
        <v>5</v>
      </c>
      <c r="E299" s="13">
        <f t="shared" si="4"/>
        <v>-0.68</v>
      </c>
    </row>
    <row r="300" spans="1:5" x14ac:dyDescent="0.3">
      <c r="A300" s="9">
        <v>4.0439999999999996</v>
      </c>
      <c r="B300" s="9"/>
      <c r="C300" s="9">
        <v>-2.8308</v>
      </c>
      <c r="D300" s="39">
        <v>3</v>
      </c>
      <c r="E300" s="13">
        <f t="shared" si="4"/>
        <v>-0.70000000000000007</v>
      </c>
    </row>
    <row r="301" spans="1:5" x14ac:dyDescent="0.3">
      <c r="A301" s="9">
        <v>7.4080000000000004</v>
      </c>
      <c r="B301" s="9"/>
      <c r="C301" s="9">
        <v>1.2038</v>
      </c>
      <c r="D301" s="39">
        <v>2</v>
      </c>
      <c r="E301" s="13">
        <f t="shared" si="4"/>
        <v>0.16249999999999998</v>
      </c>
    </row>
    <row r="302" spans="1:5" x14ac:dyDescent="0.3">
      <c r="A302" s="9">
        <v>64.623999999999995</v>
      </c>
      <c r="B302" s="9"/>
      <c r="C302" s="9">
        <v>22.618400000000001</v>
      </c>
      <c r="D302" s="39">
        <v>7</v>
      </c>
      <c r="E302" s="13">
        <f t="shared" si="4"/>
        <v>0.35000000000000003</v>
      </c>
    </row>
    <row r="303" spans="1:5" x14ac:dyDescent="0.3">
      <c r="A303" s="9">
        <v>95.975999999999999</v>
      </c>
      <c r="B303" s="9"/>
      <c r="C303" s="9">
        <v>-10.7973</v>
      </c>
      <c r="D303" s="39">
        <v>3</v>
      </c>
      <c r="E303" s="13">
        <f t="shared" si="4"/>
        <v>-0.1125</v>
      </c>
    </row>
    <row r="304" spans="1:5" x14ac:dyDescent="0.3">
      <c r="A304" s="9">
        <v>1.788</v>
      </c>
      <c r="B304" s="9"/>
      <c r="C304" s="9">
        <v>-3.0396000000000001</v>
      </c>
      <c r="D304" s="39">
        <v>3</v>
      </c>
      <c r="E304" s="13">
        <f t="shared" si="4"/>
        <v>-1.7</v>
      </c>
    </row>
    <row r="305" spans="1:5" x14ac:dyDescent="0.3">
      <c r="A305" s="9">
        <v>157.91999999999999</v>
      </c>
      <c r="B305" s="9"/>
      <c r="C305" s="9">
        <v>17.765999999999998</v>
      </c>
      <c r="D305" s="39">
        <v>5</v>
      </c>
      <c r="E305" s="13">
        <f t="shared" si="4"/>
        <v>0.1125</v>
      </c>
    </row>
    <row r="306" spans="1:5" x14ac:dyDescent="0.3">
      <c r="A306" s="9">
        <v>203.184</v>
      </c>
      <c r="B306" s="9"/>
      <c r="C306" s="9">
        <v>15.238799999999999</v>
      </c>
      <c r="D306" s="39">
        <v>2</v>
      </c>
      <c r="E306" s="13">
        <f t="shared" si="4"/>
        <v>7.4999999999999997E-2</v>
      </c>
    </row>
    <row r="307" spans="1:5" x14ac:dyDescent="0.3">
      <c r="A307" s="9">
        <v>158.36799999999999</v>
      </c>
      <c r="B307" s="9"/>
      <c r="C307" s="9">
        <v>13.857200000000001</v>
      </c>
      <c r="D307" s="39">
        <v>7</v>
      </c>
      <c r="E307" s="13">
        <f t="shared" si="4"/>
        <v>8.7500000000000008E-2</v>
      </c>
    </row>
    <row r="308" spans="1:5" x14ac:dyDescent="0.3">
      <c r="A308" s="9">
        <v>407.976</v>
      </c>
      <c r="B308" s="9"/>
      <c r="C308" s="9">
        <v>132.59219999999999</v>
      </c>
      <c r="D308" s="39">
        <v>3</v>
      </c>
      <c r="E308" s="13">
        <f t="shared" si="4"/>
        <v>0.32499999999999996</v>
      </c>
    </row>
    <row r="309" spans="1:5" x14ac:dyDescent="0.3">
      <c r="A309" s="9">
        <v>251.52</v>
      </c>
      <c r="B309" s="9"/>
      <c r="C309" s="9">
        <v>81.744</v>
      </c>
      <c r="D309" s="39">
        <v>6</v>
      </c>
      <c r="E309" s="13">
        <f t="shared" si="4"/>
        <v>0.32500000000000001</v>
      </c>
    </row>
    <row r="310" spans="1:5" x14ac:dyDescent="0.3">
      <c r="A310" s="9">
        <v>99.99</v>
      </c>
      <c r="B310" s="9"/>
      <c r="C310" s="9">
        <v>34.996499999999997</v>
      </c>
      <c r="D310" s="39">
        <v>1</v>
      </c>
      <c r="E310" s="13">
        <f t="shared" si="4"/>
        <v>0.35</v>
      </c>
    </row>
    <row r="311" spans="1:5" x14ac:dyDescent="0.3">
      <c r="A311" s="9">
        <v>5.98</v>
      </c>
      <c r="B311" s="9"/>
      <c r="C311" s="9">
        <v>2.6909999999999998</v>
      </c>
      <c r="D311" s="39">
        <v>1</v>
      </c>
      <c r="E311" s="13">
        <f t="shared" si="4"/>
        <v>0.44999999999999996</v>
      </c>
    </row>
    <row r="312" spans="1:5" x14ac:dyDescent="0.3">
      <c r="A312" s="9">
        <v>59.52</v>
      </c>
      <c r="B312" s="9"/>
      <c r="C312" s="9">
        <v>15.475199999999999</v>
      </c>
      <c r="D312" s="39">
        <v>3</v>
      </c>
      <c r="E312" s="13">
        <f t="shared" si="4"/>
        <v>0.25999999999999995</v>
      </c>
    </row>
    <row r="313" spans="1:5" x14ac:dyDescent="0.3">
      <c r="A313" s="9">
        <v>161.94</v>
      </c>
      <c r="B313" s="9"/>
      <c r="C313" s="9">
        <v>9.7164000000000001</v>
      </c>
      <c r="D313" s="39">
        <v>3</v>
      </c>
      <c r="E313" s="13">
        <f t="shared" si="4"/>
        <v>6.0000000000000005E-2</v>
      </c>
    </row>
    <row r="314" spans="1:5" x14ac:dyDescent="0.3">
      <c r="A314" s="9">
        <v>263.88</v>
      </c>
      <c r="B314" s="9"/>
      <c r="C314" s="9">
        <v>71.247600000000006</v>
      </c>
      <c r="D314" s="39">
        <v>6</v>
      </c>
      <c r="E314" s="13">
        <f t="shared" si="4"/>
        <v>0.27</v>
      </c>
    </row>
    <row r="315" spans="1:5" x14ac:dyDescent="0.3">
      <c r="A315" s="9">
        <v>30.48</v>
      </c>
      <c r="B315" s="9"/>
      <c r="C315" s="9">
        <v>7.9248000000000003</v>
      </c>
      <c r="D315" s="39">
        <v>3</v>
      </c>
      <c r="E315" s="13">
        <f t="shared" si="4"/>
        <v>0.26</v>
      </c>
    </row>
    <row r="316" spans="1:5" x14ac:dyDescent="0.3">
      <c r="A316" s="9">
        <v>9.84</v>
      </c>
      <c r="B316" s="9"/>
      <c r="C316" s="9">
        <v>2.8536000000000001</v>
      </c>
      <c r="D316" s="39">
        <v>3</v>
      </c>
      <c r="E316" s="13">
        <f t="shared" si="4"/>
        <v>0.29000000000000004</v>
      </c>
    </row>
    <row r="317" spans="1:5" x14ac:dyDescent="0.3">
      <c r="A317" s="9">
        <v>35.119999999999997</v>
      </c>
      <c r="B317" s="9"/>
      <c r="C317" s="9">
        <v>9.1311999999999998</v>
      </c>
      <c r="D317" s="39">
        <v>4</v>
      </c>
      <c r="E317" s="13">
        <f t="shared" si="4"/>
        <v>0.26</v>
      </c>
    </row>
    <row r="318" spans="1:5" x14ac:dyDescent="0.3">
      <c r="A318" s="9">
        <v>93.98</v>
      </c>
      <c r="B318" s="9"/>
      <c r="C318" s="9">
        <v>13.1572</v>
      </c>
      <c r="D318" s="39">
        <v>2</v>
      </c>
      <c r="E318" s="13">
        <f t="shared" si="4"/>
        <v>0.13999999999999999</v>
      </c>
    </row>
    <row r="319" spans="1:5" x14ac:dyDescent="0.3">
      <c r="A319" s="9">
        <v>45</v>
      </c>
      <c r="B319" s="9"/>
      <c r="C319" s="9">
        <v>4.95</v>
      </c>
      <c r="D319" s="39">
        <v>3</v>
      </c>
      <c r="E319" s="13">
        <f t="shared" si="4"/>
        <v>0.11</v>
      </c>
    </row>
    <row r="320" spans="1:5" x14ac:dyDescent="0.3">
      <c r="A320" s="9">
        <v>21.8</v>
      </c>
      <c r="B320" s="9"/>
      <c r="C320" s="9">
        <v>6.1040000000000001</v>
      </c>
      <c r="D320" s="39">
        <v>2</v>
      </c>
      <c r="E320" s="13">
        <f t="shared" si="4"/>
        <v>0.27999999999999997</v>
      </c>
    </row>
    <row r="321" spans="1:5" x14ac:dyDescent="0.3">
      <c r="A321" s="9">
        <v>23.36</v>
      </c>
      <c r="B321" s="9"/>
      <c r="C321" s="9">
        <v>7.8840000000000003</v>
      </c>
      <c r="D321" s="39">
        <v>4</v>
      </c>
      <c r="E321" s="13">
        <f t="shared" si="4"/>
        <v>0.33750000000000002</v>
      </c>
    </row>
    <row r="322" spans="1:5" x14ac:dyDescent="0.3">
      <c r="A322" s="9">
        <v>39.979999999999997</v>
      </c>
      <c r="B322" s="9"/>
      <c r="C322" s="9">
        <v>13.5932</v>
      </c>
      <c r="D322" s="39">
        <v>2</v>
      </c>
      <c r="E322" s="13">
        <f t="shared" si="4"/>
        <v>0.34</v>
      </c>
    </row>
    <row r="323" spans="1:5" x14ac:dyDescent="0.3">
      <c r="A323" s="9">
        <v>75.792000000000002</v>
      </c>
      <c r="B323" s="9"/>
      <c r="C323" s="9">
        <v>25.579799999999999</v>
      </c>
      <c r="D323" s="39">
        <v>3</v>
      </c>
      <c r="E323" s="13">
        <f t="shared" si="4"/>
        <v>0.33749999999999997</v>
      </c>
    </row>
    <row r="324" spans="1:5" x14ac:dyDescent="0.3">
      <c r="A324" s="9">
        <v>25.92</v>
      </c>
      <c r="B324" s="9"/>
      <c r="C324" s="9">
        <v>9.3960000000000008</v>
      </c>
      <c r="D324" s="39">
        <v>5</v>
      </c>
      <c r="E324" s="13">
        <f t="shared" si="4"/>
        <v>0.36249999999999999</v>
      </c>
    </row>
    <row r="325" spans="1:5" x14ac:dyDescent="0.3">
      <c r="A325" s="9">
        <v>53.423999999999999</v>
      </c>
      <c r="B325" s="9"/>
      <c r="C325" s="9">
        <v>4.6745999999999999</v>
      </c>
      <c r="D325" s="39">
        <v>3</v>
      </c>
      <c r="E325" s="13">
        <f t="shared" si="4"/>
        <v>8.7499999999999994E-2</v>
      </c>
    </row>
    <row r="326" spans="1:5" x14ac:dyDescent="0.3">
      <c r="A326" s="9">
        <v>21.744</v>
      </c>
      <c r="B326" s="9"/>
      <c r="C326" s="9">
        <v>6.7949999999999999</v>
      </c>
      <c r="D326" s="39">
        <v>3</v>
      </c>
      <c r="E326" s="13">
        <f t="shared" ref="E326:E389" si="5">(C326/A326)</f>
        <v>0.3125</v>
      </c>
    </row>
    <row r="327" spans="1:5" x14ac:dyDescent="0.3">
      <c r="A327" s="9">
        <v>8.82</v>
      </c>
      <c r="B327" s="9"/>
      <c r="C327" s="9">
        <v>2.3814000000000002</v>
      </c>
      <c r="D327" s="39">
        <v>3</v>
      </c>
      <c r="E327" s="13">
        <f t="shared" si="5"/>
        <v>0.27</v>
      </c>
    </row>
    <row r="328" spans="1:5" x14ac:dyDescent="0.3">
      <c r="A328" s="9">
        <v>10.86</v>
      </c>
      <c r="B328" s="9"/>
      <c r="C328" s="9">
        <v>5.1041999999999996</v>
      </c>
      <c r="D328" s="39">
        <v>3</v>
      </c>
      <c r="E328" s="13">
        <f t="shared" si="5"/>
        <v>0.47</v>
      </c>
    </row>
    <row r="329" spans="1:5" x14ac:dyDescent="0.3">
      <c r="A329" s="9">
        <v>143.69999999999999</v>
      </c>
      <c r="B329" s="9"/>
      <c r="C329" s="9">
        <v>68.975999999999999</v>
      </c>
      <c r="D329" s="39">
        <v>3</v>
      </c>
      <c r="E329" s="13">
        <f t="shared" si="5"/>
        <v>0.48000000000000004</v>
      </c>
    </row>
    <row r="330" spans="1:5" x14ac:dyDescent="0.3">
      <c r="A330" s="9">
        <v>46.26</v>
      </c>
      <c r="B330" s="9"/>
      <c r="C330" s="9">
        <v>12.0276</v>
      </c>
      <c r="D330" s="39">
        <v>3</v>
      </c>
      <c r="E330" s="13">
        <f t="shared" si="5"/>
        <v>0.26</v>
      </c>
    </row>
    <row r="331" spans="1:5" x14ac:dyDescent="0.3">
      <c r="A331" s="9">
        <v>29.472000000000001</v>
      </c>
      <c r="B331" s="9"/>
      <c r="C331" s="9">
        <v>9.9467999999999996</v>
      </c>
      <c r="D331" s="39">
        <v>3</v>
      </c>
      <c r="E331" s="13">
        <f t="shared" si="5"/>
        <v>0.33749999999999997</v>
      </c>
    </row>
    <row r="332" spans="1:5" x14ac:dyDescent="0.3">
      <c r="A332" s="9">
        <v>444.76799999999997</v>
      </c>
      <c r="B332" s="9"/>
      <c r="C332" s="9">
        <v>44.476799999999997</v>
      </c>
      <c r="D332" s="39">
        <v>4</v>
      </c>
      <c r="E332" s="13">
        <f t="shared" si="5"/>
        <v>0.1</v>
      </c>
    </row>
    <row r="333" spans="1:5" x14ac:dyDescent="0.3">
      <c r="A333" s="9">
        <v>9.32</v>
      </c>
      <c r="B333" s="9"/>
      <c r="C333" s="9">
        <v>2.7027999999999999</v>
      </c>
      <c r="D333" s="39">
        <v>4</v>
      </c>
      <c r="E333" s="13">
        <f t="shared" si="5"/>
        <v>0.28999999999999998</v>
      </c>
    </row>
    <row r="334" spans="1:5" x14ac:dyDescent="0.3">
      <c r="A334" s="9">
        <v>15.25</v>
      </c>
      <c r="B334" s="9"/>
      <c r="C334" s="9">
        <v>7.0149999999999997</v>
      </c>
      <c r="D334" s="39">
        <v>1</v>
      </c>
      <c r="E334" s="13">
        <f t="shared" si="5"/>
        <v>0.45999999999999996</v>
      </c>
    </row>
    <row r="335" spans="1:5" x14ac:dyDescent="0.3">
      <c r="A335" s="9">
        <v>15.552</v>
      </c>
      <c r="B335" s="9"/>
      <c r="C335" s="9">
        <v>5.4432</v>
      </c>
      <c r="D335" s="39">
        <v>3</v>
      </c>
      <c r="E335" s="13">
        <f t="shared" si="5"/>
        <v>0.35000000000000003</v>
      </c>
    </row>
    <row r="336" spans="1:5" x14ac:dyDescent="0.3">
      <c r="A336" s="9">
        <v>19.05</v>
      </c>
      <c r="B336" s="9"/>
      <c r="C336" s="9">
        <v>8.7629999999999999</v>
      </c>
      <c r="D336" s="39">
        <v>3</v>
      </c>
      <c r="E336" s="13">
        <f t="shared" si="5"/>
        <v>0.45999999999999996</v>
      </c>
    </row>
    <row r="337" spans="1:5" x14ac:dyDescent="0.3">
      <c r="A337" s="9">
        <v>179.95</v>
      </c>
      <c r="B337" s="9"/>
      <c r="C337" s="9">
        <v>37.789499999999997</v>
      </c>
      <c r="D337" s="39">
        <v>5</v>
      </c>
      <c r="E337" s="13">
        <f t="shared" si="5"/>
        <v>0.21</v>
      </c>
    </row>
    <row r="338" spans="1:5" x14ac:dyDescent="0.3">
      <c r="A338" s="9">
        <v>1199.9760000000001</v>
      </c>
      <c r="B338" s="9"/>
      <c r="C338" s="9">
        <v>434.99130000000002</v>
      </c>
      <c r="D338" s="39">
        <v>3</v>
      </c>
      <c r="E338" s="13">
        <f t="shared" si="5"/>
        <v>0.36249999999999999</v>
      </c>
    </row>
    <row r="339" spans="1:5" x14ac:dyDescent="0.3">
      <c r="A339" s="9">
        <v>27.15</v>
      </c>
      <c r="B339" s="9"/>
      <c r="C339" s="9">
        <v>13.3035</v>
      </c>
      <c r="D339" s="39">
        <v>5</v>
      </c>
      <c r="E339" s="13">
        <f t="shared" si="5"/>
        <v>0.49</v>
      </c>
    </row>
    <row r="340" spans="1:5" x14ac:dyDescent="0.3">
      <c r="A340" s="9">
        <v>1004.024</v>
      </c>
      <c r="B340" s="9"/>
      <c r="C340" s="9">
        <v>-112.95269999999999</v>
      </c>
      <c r="D340" s="39">
        <v>7</v>
      </c>
      <c r="E340" s="13">
        <f t="shared" si="5"/>
        <v>-0.11249999999999999</v>
      </c>
    </row>
    <row r="341" spans="1:5" x14ac:dyDescent="0.3">
      <c r="A341" s="9">
        <v>9.68</v>
      </c>
      <c r="B341" s="9"/>
      <c r="C341" s="9">
        <v>4.6463999999999999</v>
      </c>
      <c r="D341" s="39">
        <v>1</v>
      </c>
      <c r="E341" s="13">
        <f t="shared" si="5"/>
        <v>0.48</v>
      </c>
    </row>
    <row r="342" spans="1:5" x14ac:dyDescent="0.3">
      <c r="A342" s="9">
        <v>28.35</v>
      </c>
      <c r="B342" s="9"/>
      <c r="C342" s="9">
        <v>13.608000000000001</v>
      </c>
      <c r="D342" s="39">
        <v>9</v>
      </c>
      <c r="E342" s="13">
        <f t="shared" si="5"/>
        <v>0.48</v>
      </c>
    </row>
    <row r="343" spans="1:5" x14ac:dyDescent="0.3">
      <c r="A343" s="9">
        <v>55.98</v>
      </c>
      <c r="B343" s="9"/>
      <c r="C343" s="9">
        <v>27.430199999999999</v>
      </c>
      <c r="D343" s="39">
        <v>1</v>
      </c>
      <c r="E343" s="13">
        <f t="shared" si="5"/>
        <v>0.49</v>
      </c>
    </row>
    <row r="344" spans="1:5" x14ac:dyDescent="0.3">
      <c r="A344" s="9">
        <v>1336.829</v>
      </c>
      <c r="B344" s="9"/>
      <c r="C344" s="9">
        <v>31.454799999999999</v>
      </c>
      <c r="D344" s="39">
        <v>13</v>
      </c>
      <c r="E344" s="13">
        <f t="shared" si="5"/>
        <v>2.3529411764705882E-2</v>
      </c>
    </row>
    <row r="345" spans="1:5" x14ac:dyDescent="0.3">
      <c r="A345" s="9">
        <v>113.568</v>
      </c>
      <c r="B345" s="9"/>
      <c r="C345" s="9">
        <v>-18.454799999999999</v>
      </c>
      <c r="D345" s="39">
        <v>2</v>
      </c>
      <c r="E345" s="13">
        <f t="shared" si="5"/>
        <v>-0.16250000000000001</v>
      </c>
    </row>
    <row r="346" spans="1:5" x14ac:dyDescent="0.3">
      <c r="A346" s="9">
        <v>35.909999999999997</v>
      </c>
      <c r="B346" s="9"/>
      <c r="C346" s="9">
        <v>9.6957000000000004</v>
      </c>
      <c r="D346" s="39">
        <v>3</v>
      </c>
      <c r="E346" s="13">
        <f t="shared" si="5"/>
        <v>0.27</v>
      </c>
    </row>
    <row r="347" spans="1:5" x14ac:dyDescent="0.3">
      <c r="A347" s="9">
        <v>8.82</v>
      </c>
      <c r="B347" s="9"/>
      <c r="C347" s="9">
        <v>4.0571999999999999</v>
      </c>
      <c r="D347" s="39">
        <v>2</v>
      </c>
      <c r="E347" s="13">
        <f t="shared" si="5"/>
        <v>0.45999999999999996</v>
      </c>
    </row>
    <row r="348" spans="1:5" x14ac:dyDescent="0.3">
      <c r="A348" s="9">
        <v>5.98</v>
      </c>
      <c r="B348" s="9"/>
      <c r="C348" s="9">
        <v>1.5548</v>
      </c>
      <c r="D348" s="39">
        <v>1</v>
      </c>
      <c r="E348" s="13">
        <f t="shared" si="5"/>
        <v>0.25999999999999995</v>
      </c>
    </row>
    <row r="349" spans="1:5" x14ac:dyDescent="0.3">
      <c r="A349" s="9">
        <v>74.111999999999995</v>
      </c>
      <c r="B349" s="9"/>
      <c r="C349" s="9">
        <v>17.601600000000001</v>
      </c>
      <c r="D349" s="39">
        <v>8</v>
      </c>
      <c r="E349" s="13">
        <f t="shared" si="5"/>
        <v>0.23750000000000004</v>
      </c>
    </row>
    <row r="350" spans="1:5" x14ac:dyDescent="0.3">
      <c r="A350" s="9">
        <v>27.992000000000001</v>
      </c>
      <c r="B350" s="9"/>
      <c r="C350" s="9">
        <v>2.0994000000000002</v>
      </c>
      <c r="D350" s="39">
        <v>1</v>
      </c>
      <c r="E350" s="13">
        <f t="shared" si="5"/>
        <v>7.4999999999999997E-2</v>
      </c>
    </row>
    <row r="351" spans="1:5" x14ac:dyDescent="0.3">
      <c r="A351" s="9">
        <v>3.3039999999999998</v>
      </c>
      <c r="B351" s="9"/>
      <c r="C351" s="9">
        <v>1.0738000000000001</v>
      </c>
      <c r="D351" s="39">
        <v>1</v>
      </c>
      <c r="E351" s="13">
        <f t="shared" si="5"/>
        <v>0.32500000000000007</v>
      </c>
    </row>
    <row r="352" spans="1:5" x14ac:dyDescent="0.3">
      <c r="A352" s="9">
        <v>147.16800000000001</v>
      </c>
      <c r="B352" s="9"/>
      <c r="C352" s="9">
        <v>16.5564</v>
      </c>
      <c r="D352" s="39">
        <v>4</v>
      </c>
      <c r="E352" s="13">
        <f t="shared" si="5"/>
        <v>0.11249999999999999</v>
      </c>
    </row>
    <row r="353" spans="1:5" x14ac:dyDescent="0.3">
      <c r="A353" s="9">
        <v>95.92</v>
      </c>
      <c r="B353" s="9"/>
      <c r="C353" s="9">
        <v>25.898399999999999</v>
      </c>
      <c r="D353" s="39">
        <v>8</v>
      </c>
      <c r="E353" s="13">
        <f t="shared" si="5"/>
        <v>0.26999999999999996</v>
      </c>
    </row>
    <row r="354" spans="1:5" x14ac:dyDescent="0.3">
      <c r="A354" s="9">
        <v>56.56</v>
      </c>
      <c r="B354" s="9"/>
      <c r="C354" s="9">
        <v>14.7056</v>
      </c>
      <c r="D354" s="39">
        <v>4</v>
      </c>
      <c r="E354" s="13">
        <f t="shared" si="5"/>
        <v>0.26</v>
      </c>
    </row>
    <row r="355" spans="1:5" x14ac:dyDescent="0.3">
      <c r="A355" s="9">
        <v>32.700000000000003</v>
      </c>
      <c r="B355" s="9"/>
      <c r="C355" s="9">
        <v>8.5020000000000007</v>
      </c>
      <c r="D355" s="39">
        <v>3</v>
      </c>
      <c r="E355" s="13">
        <f t="shared" si="5"/>
        <v>0.26</v>
      </c>
    </row>
    <row r="356" spans="1:5" x14ac:dyDescent="0.3">
      <c r="A356" s="9">
        <v>35.167999999999999</v>
      </c>
      <c r="B356" s="9"/>
      <c r="C356" s="9">
        <v>9.6712000000000007</v>
      </c>
      <c r="D356" s="39">
        <v>7</v>
      </c>
      <c r="E356" s="13">
        <f t="shared" si="5"/>
        <v>0.27500000000000002</v>
      </c>
    </row>
    <row r="357" spans="1:5" x14ac:dyDescent="0.3">
      <c r="A357" s="9">
        <v>4.8899999999999997</v>
      </c>
      <c r="B357" s="9"/>
      <c r="C357" s="9">
        <v>2.0049000000000001</v>
      </c>
      <c r="D357" s="39">
        <v>1</v>
      </c>
      <c r="E357" s="13">
        <f t="shared" si="5"/>
        <v>0.41000000000000003</v>
      </c>
    </row>
    <row r="358" spans="1:5" x14ac:dyDescent="0.3">
      <c r="A358" s="9">
        <v>31.872</v>
      </c>
      <c r="B358" s="9"/>
      <c r="C358" s="9">
        <v>11.553599999999999</v>
      </c>
      <c r="D358" s="39">
        <v>8</v>
      </c>
      <c r="E358" s="13">
        <f t="shared" si="5"/>
        <v>0.36249999999999999</v>
      </c>
    </row>
    <row r="359" spans="1:5" x14ac:dyDescent="0.3">
      <c r="A359" s="9">
        <v>11.648</v>
      </c>
      <c r="B359" s="9"/>
      <c r="C359" s="9">
        <v>4.0768000000000004</v>
      </c>
      <c r="D359" s="39">
        <v>2</v>
      </c>
      <c r="E359" s="13">
        <f t="shared" si="5"/>
        <v>0.35000000000000003</v>
      </c>
    </row>
    <row r="360" spans="1:5" x14ac:dyDescent="0.3">
      <c r="A360" s="9">
        <v>18.175999999999998</v>
      </c>
      <c r="B360" s="9"/>
      <c r="C360" s="9">
        <v>5.9071999999999996</v>
      </c>
      <c r="D360" s="39">
        <v>4</v>
      </c>
      <c r="E360" s="13">
        <f t="shared" si="5"/>
        <v>0.32500000000000001</v>
      </c>
    </row>
    <row r="361" spans="1:5" x14ac:dyDescent="0.3">
      <c r="A361" s="9">
        <v>59.712000000000003</v>
      </c>
      <c r="B361" s="9"/>
      <c r="C361" s="9">
        <v>5.9711999999999996</v>
      </c>
      <c r="D361" s="39">
        <v>6</v>
      </c>
      <c r="E361" s="13">
        <f t="shared" si="5"/>
        <v>9.9999999999999992E-2</v>
      </c>
    </row>
    <row r="362" spans="1:5" x14ac:dyDescent="0.3">
      <c r="A362" s="9">
        <v>24.84</v>
      </c>
      <c r="B362" s="9"/>
      <c r="C362" s="9">
        <v>8.6940000000000008</v>
      </c>
      <c r="D362" s="39">
        <v>3</v>
      </c>
      <c r="E362" s="13">
        <f t="shared" si="5"/>
        <v>0.35000000000000003</v>
      </c>
    </row>
    <row r="363" spans="1:5" x14ac:dyDescent="0.3">
      <c r="A363" s="9">
        <v>7.56</v>
      </c>
      <c r="B363" s="9"/>
      <c r="C363" s="9">
        <v>3.0996000000000001</v>
      </c>
      <c r="D363" s="39">
        <v>3</v>
      </c>
      <c r="E363" s="13">
        <f t="shared" si="5"/>
        <v>0.41000000000000003</v>
      </c>
    </row>
    <row r="364" spans="1:5" x14ac:dyDescent="0.3">
      <c r="A364" s="9">
        <v>24.56</v>
      </c>
      <c r="B364" s="9"/>
      <c r="C364" s="9">
        <v>11.543200000000001</v>
      </c>
      <c r="D364" s="39">
        <v>2</v>
      </c>
      <c r="E364" s="13">
        <f t="shared" si="5"/>
        <v>0.47000000000000003</v>
      </c>
    </row>
    <row r="365" spans="1:5" x14ac:dyDescent="0.3">
      <c r="A365" s="9">
        <v>12.96</v>
      </c>
      <c r="B365" s="9"/>
      <c r="C365" s="9">
        <v>4.1471999999999998</v>
      </c>
      <c r="D365" s="39">
        <v>2</v>
      </c>
      <c r="E365" s="13">
        <f t="shared" si="5"/>
        <v>0.31999999999999995</v>
      </c>
    </row>
    <row r="366" spans="1:5" x14ac:dyDescent="0.3">
      <c r="A366" s="9">
        <v>83.92</v>
      </c>
      <c r="B366" s="9"/>
      <c r="C366" s="9">
        <v>5.8743999999999996</v>
      </c>
      <c r="D366" s="39">
        <v>4</v>
      </c>
      <c r="E366" s="13">
        <f t="shared" si="5"/>
        <v>6.9999999999999993E-2</v>
      </c>
    </row>
    <row r="367" spans="1:5" x14ac:dyDescent="0.3">
      <c r="A367" s="9">
        <v>131.97999999999999</v>
      </c>
      <c r="B367" s="9"/>
      <c r="C367" s="9">
        <v>35.634599999999999</v>
      </c>
      <c r="D367" s="39">
        <v>2</v>
      </c>
      <c r="E367" s="13">
        <f t="shared" si="5"/>
        <v>0.27</v>
      </c>
    </row>
    <row r="368" spans="1:5" x14ac:dyDescent="0.3">
      <c r="A368" s="9">
        <v>15.92</v>
      </c>
      <c r="B368" s="9"/>
      <c r="C368" s="9">
        <v>7.4824000000000002</v>
      </c>
      <c r="D368" s="39">
        <v>4</v>
      </c>
      <c r="E368" s="13">
        <f t="shared" si="5"/>
        <v>0.47000000000000003</v>
      </c>
    </row>
    <row r="369" spans="1:5" x14ac:dyDescent="0.3">
      <c r="A369" s="9">
        <v>52.29</v>
      </c>
      <c r="B369" s="9"/>
      <c r="C369" s="9">
        <v>16.209900000000001</v>
      </c>
      <c r="D369" s="39">
        <v>9</v>
      </c>
      <c r="E369" s="13">
        <f t="shared" si="5"/>
        <v>0.31000000000000005</v>
      </c>
    </row>
    <row r="370" spans="1:5" x14ac:dyDescent="0.3">
      <c r="A370" s="9">
        <v>91.99</v>
      </c>
      <c r="B370" s="9"/>
      <c r="C370" s="9">
        <v>3.6796000000000002</v>
      </c>
      <c r="D370" s="39">
        <v>1</v>
      </c>
      <c r="E370" s="13">
        <f t="shared" si="5"/>
        <v>4.0000000000000008E-2</v>
      </c>
    </row>
    <row r="371" spans="1:5" x14ac:dyDescent="0.3">
      <c r="A371" s="9">
        <v>14.016</v>
      </c>
      <c r="B371" s="9"/>
      <c r="C371" s="9">
        <v>4.7304000000000004</v>
      </c>
      <c r="D371" s="39">
        <v>3</v>
      </c>
      <c r="E371" s="13">
        <f t="shared" si="5"/>
        <v>0.33750000000000002</v>
      </c>
    </row>
    <row r="372" spans="1:5" x14ac:dyDescent="0.3">
      <c r="A372" s="9">
        <v>95.616</v>
      </c>
      <c r="B372" s="9"/>
      <c r="C372" s="9">
        <v>9.5616000000000003</v>
      </c>
      <c r="D372" s="39">
        <v>2</v>
      </c>
      <c r="E372" s="13">
        <f t="shared" si="5"/>
        <v>0.1</v>
      </c>
    </row>
    <row r="373" spans="1:5" x14ac:dyDescent="0.3">
      <c r="A373" s="9">
        <v>301.95999999999998</v>
      </c>
      <c r="B373" s="9"/>
      <c r="C373" s="9">
        <v>33.215600000000002</v>
      </c>
      <c r="D373" s="39">
        <v>2</v>
      </c>
      <c r="E373" s="13">
        <f t="shared" si="5"/>
        <v>0.11000000000000001</v>
      </c>
    </row>
    <row r="374" spans="1:5" x14ac:dyDescent="0.3">
      <c r="A374" s="9">
        <v>29.6</v>
      </c>
      <c r="B374" s="9"/>
      <c r="C374" s="9">
        <v>14.8</v>
      </c>
      <c r="D374" s="39">
        <v>2</v>
      </c>
      <c r="E374" s="13">
        <f t="shared" si="5"/>
        <v>0.5</v>
      </c>
    </row>
    <row r="375" spans="1:5" x14ac:dyDescent="0.3">
      <c r="A375" s="9">
        <v>514.16499999999996</v>
      </c>
      <c r="B375" s="9"/>
      <c r="C375" s="9">
        <v>-30.245000000000001</v>
      </c>
      <c r="D375" s="39">
        <v>5</v>
      </c>
      <c r="E375" s="13">
        <f t="shared" si="5"/>
        <v>-5.8823529411764712E-2</v>
      </c>
    </row>
    <row r="376" spans="1:5" x14ac:dyDescent="0.3">
      <c r="A376" s="9">
        <v>279.95999999999998</v>
      </c>
      <c r="B376" s="9"/>
      <c r="C376" s="9">
        <v>17.497499999999999</v>
      </c>
      <c r="D376" s="39">
        <v>5</v>
      </c>
      <c r="E376" s="13">
        <f t="shared" si="5"/>
        <v>6.25E-2</v>
      </c>
    </row>
    <row r="377" spans="1:5" x14ac:dyDescent="0.3">
      <c r="A377" s="9">
        <v>139.86000000000001</v>
      </c>
      <c r="B377" s="9"/>
      <c r="C377" s="9">
        <v>65.734200000000001</v>
      </c>
      <c r="D377" s="39">
        <v>7</v>
      </c>
      <c r="E377" s="13">
        <f t="shared" si="5"/>
        <v>0.47</v>
      </c>
    </row>
    <row r="378" spans="1:5" x14ac:dyDescent="0.3">
      <c r="A378" s="9">
        <v>307.13600000000002</v>
      </c>
      <c r="B378" s="9"/>
      <c r="C378" s="9">
        <v>26.874400000000001</v>
      </c>
      <c r="D378" s="39">
        <v>4</v>
      </c>
      <c r="E378" s="13">
        <f t="shared" si="5"/>
        <v>8.7499999999999994E-2</v>
      </c>
    </row>
    <row r="379" spans="1:5" x14ac:dyDescent="0.3">
      <c r="A379" s="9">
        <v>20.7</v>
      </c>
      <c r="B379" s="9"/>
      <c r="C379" s="9">
        <v>9.9359999999999999</v>
      </c>
      <c r="D379" s="39">
        <v>2</v>
      </c>
      <c r="E379" s="13">
        <f t="shared" si="5"/>
        <v>0.48000000000000004</v>
      </c>
    </row>
    <row r="380" spans="1:5" x14ac:dyDescent="0.3">
      <c r="A380" s="9">
        <v>488.64600000000002</v>
      </c>
      <c r="B380" s="9"/>
      <c r="C380" s="9">
        <v>86.870400000000004</v>
      </c>
      <c r="D380" s="39">
        <v>3</v>
      </c>
      <c r="E380" s="13">
        <f t="shared" si="5"/>
        <v>0.17777777777777778</v>
      </c>
    </row>
    <row r="381" spans="1:5" x14ac:dyDescent="0.3">
      <c r="A381" s="9">
        <v>5.56</v>
      </c>
      <c r="B381" s="9"/>
      <c r="C381" s="9">
        <v>1.4456</v>
      </c>
      <c r="D381" s="39">
        <v>2</v>
      </c>
      <c r="E381" s="13">
        <f t="shared" si="5"/>
        <v>0.26</v>
      </c>
    </row>
    <row r="382" spans="1:5" x14ac:dyDescent="0.3">
      <c r="A382" s="9">
        <v>47.12</v>
      </c>
      <c r="B382" s="9"/>
      <c r="C382" s="9">
        <v>20.732800000000001</v>
      </c>
      <c r="D382" s="39">
        <v>8</v>
      </c>
      <c r="E382" s="13">
        <f t="shared" si="5"/>
        <v>0.44000000000000006</v>
      </c>
    </row>
    <row r="383" spans="1:5" x14ac:dyDescent="0.3">
      <c r="A383" s="9">
        <v>41.96</v>
      </c>
      <c r="B383" s="9"/>
      <c r="C383" s="9">
        <v>10.909599999999999</v>
      </c>
      <c r="D383" s="39">
        <v>2</v>
      </c>
      <c r="E383" s="13">
        <f t="shared" si="5"/>
        <v>0.25999999999999995</v>
      </c>
    </row>
    <row r="384" spans="1:5" x14ac:dyDescent="0.3">
      <c r="A384" s="9">
        <v>284.36399999999998</v>
      </c>
      <c r="B384" s="9"/>
      <c r="C384" s="9">
        <v>-75.830399999999997</v>
      </c>
      <c r="D384" s="39">
        <v>2</v>
      </c>
      <c r="E384" s="13">
        <f t="shared" si="5"/>
        <v>-0.26666666666666666</v>
      </c>
    </row>
    <row r="385" spans="1:5" x14ac:dyDescent="0.3">
      <c r="A385" s="9">
        <v>665.40800000000002</v>
      </c>
      <c r="B385" s="9"/>
      <c r="C385" s="9">
        <v>66.540800000000004</v>
      </c>
      <c r="D385" s="39">
        <v>2</v>
      </c>
      <c r="E385" s="13">
        <f t="shared" si="5"/>
        <v>0.1</v>
      </c>
    </row>
    <row r="386" spans="1:5" x14ac:dyDescent="0.3">
      <c r="A386" s="9">
        <v>28.4</v>
      </c>
      <c r="B386" s="9"/>
      <c r="C386" s="9">
        <v>11.076000000000001</v>
      </c>
      <c r="D386" s="39">
        <v>2</v>
      </c>
      <c r="E386" s="13">
        <f t="shared" si="5"/>
        <v>0.39</v>
      </c>
    </row>
    <row r="387" spans="1:5" x14ac:dyDescent="0.3">
      <c r="A387" s="9">
        <v>287.92</v>
      </c>
      <c r="B387" s="9"/>
      <c r="C387" s="9">
        <v>138.20160000000001</v>
      </c>
      <c r="D387" s="39">
        <v>8</v>
      </c>
      <c r="E387" s="13">
        <f t="shared" si="5"/>
        <v>0.48000000000000004</v>
      </c>
    </row>
    <row r="388" spans="1:5" x14ac:dyDescent="0.3">
      <c r="A388" s="9">
        <v>6.6719999999999997</v>
      </c>
      <c r="B388" s="9"/>
      <c r="C388" s="9">
        <v>0.50039999999999996</v>
      </c>
      <c r="D388" s="39">
        <v>6</v>
      </c>
      <c r="E388" s="13">
        <f t="shared" si="5"/>
        <v>7.4999999999999997E-2</v>
      </c>
    </row>
    <row r="389" spans="1:5" x14ac:dyDescent="0.3">
      <c r="A389" s="9">
        <v>15.992000000000001</v>
      </c>
      <c r="B389" s="9"/>
      <c r="C389" s="9">
        <v>0.99950000000000006</v>
      </c>
      <c r="D389" s="39">
        <v>1</v>
      </c>
      <c r="E389" s="13">
        <f t="shared" si="5"/>
        <v>6.25E-2</v>
      </c>
    </row>
    <row r="390" spans="1:5" x14ac:dyDescent="0.3">
      <c r="A390" s="9">
        <v>2.91</v>
      </c>
      <c r="B390" s="9"/>
      <c r="C390" s="9">
        <v>1.3676999999999999</v>
      </c>
      <c r="D390" s="39">
        <v>1</v>
      </c>
      <c r="E390" s="13">
        <f t="shared" ref="E390:E453" si="6">(C390/A390)</f>
        <v>0.47</v>
      </c>
    </row>
    <row r="391" spans="1:5" x14ac:dyDescent="0.3">
      <c r="A391" s="9">
        <v>5.78</v>
      </c>
      <c r="B391" s="9"/>
      <c r="C391" s="9">
        <v>2.8321999999999998</v>
      </c>
      <c r="D391" s="39">
        <v>1</v>
      </c>
      <c r="E391" s="13">
        <f t="shared" si="6"/>
        <v>0.48999999999999994</v>
      </c>
    </row>
    <row r="392" spans="1:5" x14ac:dyDescent="0.3">
      <c r="A392" s="9">
        <v>205.33279999999999</v>
      </c>
      <c r="B392" s="9"/>
      <c r="C392" s="9">
        <v>-36.235199999999999</v>
      </c>
      <c r="D392" s="39">
        <v>2</v>
      </c>
      <c r="E392" s="13">
        <f t="shared" si="6"/>
        <v>-0.17647058823529413</v>
      </c>
    </row>
    <row r="393" spans="1:5" x14ac:dyDescent="0.3">
      <c r="A393" s="9">
        <v>839.43</v>
      </c>
      <c r="B393" s="9"/>
      <c r="C393" s="9">
        <v>218.2518</v>
      </c>
      <c r="D393" s="39">
        <v>3</v>
      </c>
      <c r="E393" s="13">
        <f t="shared" si="6"/>
        <v>0.26</v>
      </c>
    </row>
    <row r="394" spans="1:5" x14ac:dyDescent="0.3">
      <c r="A394" s="9">
        <v>19.989999999999998</v>
      </c>
      <c r="B394" s="9"/>
      <c r="C394" s="9">
        <v>6.7965999999999998</v>
      </c>
      <c r="D394" s="39">
        <v>1</v>
      </c>
      <c r="E394" s="13">
        <f t="shared" si="6"/>
        <v>0.34</v>
      </c>
    </row>
    <row r="395" spans="1:5" x14ac:dyDescent="0.3">
      <c r="A395" s="9">
        <v>6.16</v>
      </c>
      <c r="B395" s="9"/>
      <c r="C395" s="9">
        <v>2.9567999999999999</v>
      </c>
      <c r="D395" s="39">
        <v>2</v>
      </c>
      <c r="E395" s="13">
        <f t="shared" si="6"/>
        <v>0.48</v>
      </c>
    </row>
    <row r="396" spans="1:5" x14ac:dyDescent="0.3">
      <c r="A396" s="9">
        <v>647.84</v>
      </c>
      <c r="B396" s="9"/>
      <c r="C396" s="9">
        <v>168.4384</v>
      </c>
      <c r="D396" s="39">
        <v>8</v>
      </c>
      <c r="E396" s="13">
        <f t="shared" si="6"/>
        <v>0.26</v>
      </c>
    </row>
    <row r="397" spans="1:5" x14ac:dyDescent="0.3">
      <c r="A397" s="9">
        <v>20.7</v>
      </c>
      <c r="B397" s="9"/>
      <c r="C397" s="9">
        <v>9.9359999999999999</v>
      </c>
      <c r="D397" s="39">
        <v>2</v>
      </c>
      <c r="E397" s="13">
        <f t="shared" si="6"/>
        <v>0.48000000000000004</v>
      </c>
    </row>
    <row r="398" spans="1:5" x14ac:dyDescent="0.3">
      <c r="A398" s="9">
        <v>866.4</v>
      </c>
      <c r="B398" s="9"/>
      <c r="C398" s="9">
        <v>225.26400000000001</v>
      </c>
      <c r="D398" s="39">
        <v>4</v>
      </c>
      <c r="E398" s="13">
        <f t="shared" si="6"/>
        <v>0.26</v>
      </c>
    </row>
    <row r="399" spans="1:5" x14ac:dyDescent="0.3">
      <c r="A399" s="9">
        <v>207.846</v>
      </c>
      <c r="B399" s="9"/>
      <c r="C399" s="9">
        <v>2.3094000000000001</v>
      </c>
      <c r="D399" s="39">
        <v>3</v>
      </c>
      <c r="E399" s="13">
        <f t="shared" si="6"/>
        <v>1.1111111111111112E-2</v>
      </c>
    </row>
    <row r="400" spans="1:5" x14ac:dyDescent="0.3">
      <c r="A400" s="9">
        <v>51.311999999999998</v>
      </c>
      <c r="B400" s="9"/>
      <c r="C400" s="9">
        <v>17.959199999999999</v>
      </c>
      <c r="D400" s="39">
        <v>3</v>
      </c>
      <c r="E400" s="13">
        <f t="shared" si="6"/>
        <v>0.35</v>
      </c>
    </row>
    <row r="401" spans="1:5" x14ac:dyDescent="0.3">
      <c r="A401" s="9">
        <v>10.56</v>
      </c>
      <c r="B401" s="9"/>
      <c r="C401" s="9">
        <v>4.7519999999999998</v>
      </c>
      <c r="D401" s="39">
        <v>2</v>
      </c>
      <c r="E401" s="13">
        <f t="shared" si="6"/>
        <v>0.44999999999999996</v>
      </c>
    </row>
    <row r="402" spans="1:5" x14ac:dyDescent="0.3">
      <c r="A402" s="9">
        <v>96.53</v>
      </c>
      <c r="B402" s="9"/>
      <c r="C402" s="9">
        <v>40.5426</v>
      </c>
      <c r="D402" s="39">
        <v>7</v>
      </c>
      <c r="E402" s="13">
        <f t="shared" si="6"/>
        <v>0.42</v>
      </c>
    </row>
    <row r="403" spans="1:5" x14ac:dyDescent="0.3">
      <c r="A403" s="9">
        <v>20.37</v>
      </c>
      <c r="B403" s="9"/>
      <c r="C403" s="9">
        <v>6.9257999999999997</v>
      </c>
      <c r="D403" s="39">
        <v>3</v>
      </c>
      <c r="E403" s="13">
        <f t="shared" si="6"/>
        <v>0.33999999999999997</v>
      </c>
    </row>
    <row r="404" spans="1:5" x14ac:dyDescent="0.3">
      <c r="A404" s="9">
        <v>221.55</v>
      </c>
      <c r="B404" s="9"/>
      <c r="C404" s="9">
        <v>6.6464999999999996</v>
      </c>
      <c r="D404" s="39">
        <v>3</v>
      </c>
      <c r="E404" s="13">
        <f t="shared" si="6"/>
        <v>2.9999999999999995E-2</v>
      </c>
    </row>
    <row r="405" spans="1:5" x14ac:dyDescent="0.3">
      <c r="A405" s="9">
        <v>17.52</v>
      </c>
      <c r="B405" s="9"/>
      <c r="C405" s="9">
        <v>6.1319999999999997</v>
      </c>
      <c r="D405" s="39">
        <v>5</v>
      </c>
      <c r="E405" s="13">
        <f t="shared" si="6"/>
        <v>0.35</v>
      </c>
    </row>
    <row r="406" spans="1:5" x14ac:dyDescent="0.3">
      <c r="A406" s="9">
        <v>725.84</v>
      </c>
      <c r="B406" s="9"/>
      <c r="C406" s="9">
        <v>210.49359999999999</v>
      </c>
      <c r="D406" s="39">
        <v>4</v>
      </c>
      <c r="E406" s="13">
        <f t="shared" si="6"/>
        <v>0.28999999999999998</v>
      </c>
    </row>
    <row r="407" spans="1:5" x14ac:dyDescent="0.3">
      <c r="A407" s="9">
        <v>49.96</v>
      </c>
      <c r="B407" s="9"/>
      <c r="C407" s="9">
        <v>9.4923999999999999</v>
      </c>
      <c r="D407" s="39">
        <v>2</v>
      </c>
      <c r="E407" s="13">
        <f t="shared" si="6"/>
        <v>0.19</v>
      </c>
    </row>
    <row r="408" spans="1:5" x14ac:dyDescent="0.3">
      <c r="A408" s="9">
        <v>12.96</v>
      </c>
      <c r="B408" s="9"/>
      <c r="C408" s="9">
        <v>6.2207999999999997</v>
      </c>
      <c r="D408" s="39">
        <v>2</v>
      </c>
      <c r="E408" s="13">
        <f t="shared" si="6"/>
        <v>0.47999999999999993</v>
      </c>
    </row>
    <row r="409" spans="1:5" x14ac:dyDescent="0.3">
      <c r="A409" s="9">
        <v>47.975999999999999</v>
      </c>
      <c r="B409" s="9"/>
      <c r="C409" s="9">
        <v>4.7976000000000001</v>
      </c>
      <c r="D409" s="39">
        <v>3</v>
      </c>
      <c r="E409" s="13">
        <f t="shared" si="6"/>
        <v>0.1</v>
      </c>
    </row>
    <row r="410" spans="1:5" x14ac:dyDescent="0.3">
      <c r="A410" s="9">
        <v>52.448</v>
      </c>
      <c r="B410" s="9"/>
      <c r="C410" s="9">
        <v>-131.12</v>
      </c>
      <c r="D410" s="39">
        <v>2</v>
      </c>
      <c r="E410" s="13">
        <f t="shared" si="6"/>
        <v>-2.5</v>
      </c>
    </row>
    <row r="411" spans="1:5" x14ac:dyDescent="0.3">
      <c r="A411" s="9">
        <v>20.16</v>
      </c>
      <c r="B411" s="9"/>
      <c r="C411" s="9">
        <v>6.5519999999999996</v>
      </c>
      <c r="D411" s="39">
        <v>4</v>
      </c>
      <c r="E411" s="13">
        <f t="shared" si="6"/>
        <v>0.32499999999999996</v>
      </c>
    </row>
    <row r="412" spans="1:5" x14ac:dyDescent="0.3">
      <c r="A412" s="9">
        <v>3059.982</v>
      </c>
      <c r="B412" s="9"/>
      <c r="C412" s="9">
        <v>-509.99700000000001</v>
      </c>
      <c r="D412" s="39">
        <v>3</v>
      </c>
      <c r="E412" s="13">
        <f t="shared" si="6"/>
        <v>-0.16666666666666669</v>
      </c>
    </row>
    <row r="413" spans="1:5" x14ac:dyDescent="0.3">
      <c r="A413" s="9">
        <v>2519.9580000000001</v>
      </c>
      <c r="B413" s="9"/>
      <c r="C413" s="9">
        <v>-251.9958</v>
      </c>
      <c r="D413" s="39">
        <v>7</v>
      </c>
      <c r="E413" s="13">
        <f>(C413/A413)</f>
        <v>-9.9999999999999992E-2</v>
      </c>
    </row>
    <row r="414" spans="1:5" x14ac:dyDescent="0.3">
      <c r="A414" s="9">
        <v>129.56800000000001</v>
      </c>
      <c r="B414" s="9"/>
      <c r="C414" s="9">
        <v>-24.294</v>
      </c>
      <c r="D414" s="39">
        <v>2</v>
      </c>
      <c r="E414" s="13">
        <f t="shared" si="6"/>
        <v>-0.1875</v>
      </c>
    </row>
    <row r="415" spans="1:5" x14ac:dyDescent="0.3">
      <c r="A415" s="9">
        <v>8.16</v>
      </c>
      <c r="B415" s="9"/>
      <c r="C415" s="9">
        <v>-5.7119999999999997</v>
      </c>
      <c r="D415" s="39">
        <v>5</v>
      </c>
      <c r="E415" s="13">
        <f t="shared" si="6"/>
        <v>-0.7</v>
      </c>
    </row>
    <row r="416" spans="1:5" x14ac:dyDescent="0.3">
      <c r="A416" s="9">
        <v>1023.936</v>
      </c>
      <c r="B416" s="9"/>
      <c r="C416" s="9">
        <v>179.18879999999999</v>
      </c>
      <c r="D416" s="39">
        <v>8</v>
      </c>
      <c r="E416" s="13">
        <f t="shared" si="6"/>
        <v>0.17499999999999999</v>
      </c>
    </row>
    <row r="417" spans="1:5" x14ac:dyDescent="0.3">
      <c r="A417" s="9">
        <v>9.24</v>
      </c>
      <c r="B417" s="9"/>
      <c r="C417" s="9">
        <v>0.92400000000000004</v>
      </c>
      <c r="D417" s="39">
        <v>1</v>
      </c>
      <c r="E417" s="13">
        <f t="shared" si="6"/>
        <v>0.1</v>
      </c>
    </row>
    <row r="418" spans="1:5" x14ac:dyDescent="0.3">
      <c r="A418" s="9">
        <v>479.04</v>
      </c>
      <c r="B418" s="9"/>
      <c r="C418" s="9">
        <v>-29.94</v>
      </c>
      <c r="D418" s="39">
        <v>10</v>
      </c>
      <c r="E418" s="13">
        <f t="shared" si="6"/>
        <v>-6.25E-2</v>
      </c>
    </row>
    <row r="419" spans="1:5" x14ac:dyDescent="0.3">
      <c r="A419" s="9">
        <v>617.70000000000005</v>
      </c>
      <c r="B419" s="9"/>
      <c r="C419" s="9">
        <v>-407.68200000000002</v>
      </c>
      <c r="D419" s="39">
        <v>6</v>
      </c>
      <c r="E419" s="13">
        <f t="shared" si="6"/>
        <v>-0.66</v>
      </c>
    </row>
    <row r="420" spans="1:5" x14ac:dyDescent="0.3">
      <c r="A420" s="9">
        <v>12.462</v>
      </c>
      <c r="B420" s="9"/>
      <c r="C420" s="9">
        <v>-20.5623</v>
      </c>
      <c r="D420" s="39">
        <v>3</v>
      </c>
      <c r="E420" s="13">
        <f t="shared" si="6"/>
        <v>-1.6500000000000001</v>
      </c>
    </row>
    <row r="421" spans="1:5" x14ac:dyDescent="0.3">
      <c r="A421" s="9">
        <v>246.38399999999999</v>
      </c>
      <c r="B421" s="9"/>
      <c r="C421" s="9">
        <v>27.7182</v>
      </c>
      <c r="D421" s="39">
        <v>2</v>
      </c>
      <c r="E421" s="13">
        <f t="shared" si="6"/>
        <v>0.1125</v>
      </c>
    </row>
    <row r="422" spans="1:5" x14ac:dyDescent="0.3">
      <c r="A422" s="9">
        <v>1799.97</v>
      </c>
      <c r="B422" s="9"/>
      <c r="C422" s="9">
        <v>701.98829999999998</v>
      </c>
      <c r="D422" s="39">
        <v>3</v>
      </c>
      <c r="E422" s="13">
        <f t="shared" si="6"/>
        <v>0.38999999999999996</v>
      </c>
    </row>
    <row r="423" spans="1:5" x14ac:dyDescent="0.3">
      <c r="A423" s="9">
        <v>19.3</v>
      </c>
      <c r="B423" s="9"/>
      <c r="C423" s="9">
        <v>-14.475</v>
      </c>
      <c r="D423" s="39">
        <v>5</v>
      </c>
      <c r="E423" s="13">
        <f t="shared" si="6"/>
        <v>-0.75</v>
      </c>
    </row>
    <row r="424" spans="1:5" x14ac:dyDescent="0.3">
      <c r="A424" s="9">
        <v>4.8120000000000003</v>
      </c>
      <c r="B424" s="9"/>
      <c r="C424" s="9">
        <v>-3.6892</v>
      </c>
      <c r="D424" s="39">
        <v>2</v>
      </c>
      <c r="E424" s="13">
        <f t="shared" si="6"/>
        <v>-0.76666666666666661</v>
      </c>
    </row>
    <row r="425" spans="1:5" x14ac:dyDescent="0.3">
      <c r="A425" s="9">
        <v>247.8</v>
      </c>
      <c r="B425" s="9"/>
      <c r="C425" s="9">
        <v>-18.585000000000001</v>
      </c>
      <c r="D425" s="39">
        <v>5</v>
      </c>
      <c r="E425" s="13">
        <f t="shared" si="6"/>
        <v>-7.4999999999999997E-2</v>
      </c>
    </row>
    <row r="426" spans="1:5" x14ac:dyDescent="0.3">
      <c r="A426" s="9">
        <v>600.55799999999999</v>
      </c>
      <c r="B426" s="9"/>
      <c r="C426" s="9">
        <v>-8.5793999999999997</v>
      </c>
      <c r="D426" s="39">
        <v>3</v>
      </c>
      <c r="E426" s="13">
        <f t="shared" si="6"/>
        <v>-1.4285714285714285E-2</v>
      </c>
    </row>
    <row r="427" spans="1:5" x14ac:dyDescent="0.3">
      <c r="A427" s="9">
        <v>18.648</v>
      </c>
      <c r="B427" s="9"/>
      <c r="C427" s="9">
        <v>-12.432</v>
      </c>
      <c r="D427" s="39">
        <v>7</v>
      </c>
      <c r="E427" s="13">
        <f t="shared" si="6"/>
        <v>-0.66666666666666674</v>
      </c>
    </row>
    <row r="428" spans="1:5" x14ac:dyDescent="0.3">
      <c r="A428" s="9">
        <v>254.744</v>
      </c>
      <c r="B428" s="9"/>
      <c r="C428" s="9">
        <v>-312.06139999999999</v>
      </c>
      <c r="D428" s="39">
        <v>7</v>
      </c>
      <c r="E428" s="13">
        <f t="shared" si="6"/>
        <v>-1.2249999999999999</v>
      </c>
    </row>
    <row r="429" spans="1:5" x14ac:dyDescent="0.3">
      <c r="A429" s="9">
        <v>396.80200000000002</v>
      </c>
      <c r="B429" s="9"/>
      <c r="C429" s="9">
        <v>-11.337199999999999</v>
      </c>
      <c r="D429" s="39">
        <v>7</v>
      </c>
      <c r="E429" s="13">
        <f t="shared" si="6"/>
        <v>-2.8571428571428567E-2</v>
      </c>
    </row>
    <row r="430" spans="1:5" x14ac:dyDescent="0.3">
      <c r="A430" s="9">
        <v>15.88</v>
      </c>
      <c r="B430" s="9"/>
      <c r="C430" s="9">
        <v>-3.7715000000000001</v>
      </c>
      <c r="D430" s="39">
        <v>5</v>
      </c>
      <c r="E430" s="13">
        <f t="shared" si="6"/>
        <v>-0.23749999999999999</v>
      </c>
    </row>
    <row r="431" spans="1:5" x14ac:dyDescent="0.3">
      <c r="A431" s="9">
        <v>957.57749999999999</v>
      </c>
      <c r="B431" s="9"/>
      <c r="C431" s="9">
        <v>-383.03100000000001</v>
      </c>
      <c r="D431" s="39">
        <v>5</v>
      </c>
      <c r="E431" s="13">
        <f t="shared" si="6"/>
        <v>-0.4</v>
      </c>
    </row>
    <row r="432" spans="1:5" x14ac:dyDescent="0.3">
      <c r="A432" s="9">
        <v>22.367999999999999</v>
      </c>
      <c r="B432" s="9"/>
      <c r="C432" s="9">
        <v>2.5164</v>
      </c>
      <c r="D432" s="39">
        <v>2</v>
      </c>
      <c r="E432" s="13">
        <f t="shared" si="6"/>
        <v>0.1125</v>
      </c>
    </row>
    <row r="433" spans="1:5" x14ac:dyDescent="0.3">
      <c r="A433" s="9">
        <v>68.81</v>
      </c>
      <c r="B433" s="9"/>
      <c r="C433" s="9">
        <v>-123.858</v>
      </c>
      <c r="D433" s="39">
        <v>5</v>
      </c>
      <c r="E433" s="13">
        <f t="shared" si="6"/>
        <v>-1.8</v>
      </c>
    </row>
    <row r="434" spans="1:5" x14ac:dyDescent="0.3">
      <c r="A434" s="9">
        <v>2.544</v>
      </c>
      <c r="B434" s="9"/>
      <c r="C434" s="9">
        <v>-3.8159999999999998</v>
      </c>
      <c r="D434" s="39">
        <v>3</v>
      </c>
      <c r="E434" s="13">
        <f t="shared" si="6"/>
        <v>-1.5</v>
      </c>
    </row>
    <row r="435" spans="1:5" x14ac:dyDescent="0.3">
      <c r="A435" s="9">
        <v>88.8</v>
      </c>
      <c r="B435" s="9"/>
      <c r="C435" s="9">
        <v>-2.2200000000000002</v>
      </c>
      <c r="D435" s="39">
        <v>4</v>
      </c>
      <c r="E435" s="13">
        <f t="shared" si="6"/>
        <v>-2.5000000000000001E-2</v>
      </c>
    </row>
    <row r="436" spans="1:5" x14ac:dyDescent="0.3">
      <c r="A436" s="9">
        <v>831.93600000000004</v>
      </c>
      <c r="B436" s="9"/>
      <c r="C436" s="9">
        <v>-114.3912</v>
      </c>
      <c r="D436" s="39">
        <v>8</v>
      </c>
      <c r="E436" s="13">
        <f t="shared" si="6"/>
        <v>-0.13749999999999998</v>
      </c>
    </row>
    <row r="437" spans="1:5" x14ac:dyDescent="0.3">
      <c r="A437" s="9">
        <v>97.04</v>
      </c>
      <c r="B437" s="9"/>
      <c r="C437" s="9">
        <v>1.2130000000000001</v>
      </c>
      <c r="D437" s="39">
        <v>2</v>
      </c>
      <c r="E437" s="13">
        <f t="shared" si="6"/>
        <v>1.2500000000000001E-2</v>
      </c>
    </row>
    <row r="438" spans="1:5" x14ac:dyDescent="0.3">
      <c r="A438" s="9">
        <v>72.784000000000006</v>
      </c>
      <c r="B438" s="9"/>
      <c r="C438" s="9">
        <v>-18.196000000000002</v>
      </c>
      <c r="D438" s="39">
        <v>1</v>
      </c>
      <c r="E438" s="13">
        <f t="shared" si="6"/>
        <v>-0.25</v>
      </c>
    </row>
    <row r="439" spans="1:5" x14ac:dyDescent="0.3">
      <c r="A439" s="9">
        <v>157.79400000000001</v>
      </c>
      <c r="B439" s="9"/>
      <c r="C439" s="9">
        <v>-115.71559999999999</v>
      </c>
      <c r="D439" s="39">
        <v>1</v>
      </c>
      <c r="E439" s="13">
        <f t="shared" si="6"/>
        <v>-0.73333333333333328</v>
      </c>
    </row>
    <row r="440" spans="1:5" x14ac:dyDescent="0.3">
      <c r="A440" s="9">
        <v>161.56800000000001</v>
      </c>
      <c r="B440" s="9"/>
      <c r="C440" s="9">
        <v>-28.2744</v>
      </c>
      <c r="D440" s="39">
        <v>2</v>
      </c>
      <c r="E440" s="13">
        <f t="shared" si="6"/>
        <v>-0.17499999999999999</v>
      </c>
    </row>
    <row r="441" spans="1:5" x14ac:dyDescent="0.3">
      <c r="A441" s="9">
        <v>389.69600000000003</v>
      </c>
      <c r="B441" s="9"/>
      <c r="C441" s="9">
        <v>43.840800000000002</v>
      </c>
      <c r="D441" s="39">
        <v>8</v>
      </c>
      <c r="E441" s="13">
        <f t="shared" si="6"/>
        <v>0.1125</v>
      </c>
    </row>
    <row r="442" spans="1:5" x14ac:dyDescent="0.3">
      <c r="A442" s="9">
        <v>3083.43</v>
      </c>
      <c r="B442" s="9"/>
      <c r="C442" s="9">
        <v>-1665.0522000000001</v>
      </c>
      <c r="D442" s="39">
        <v>7</v>
      </c>
      <c r="E442" s="13">
        <f t="shared" si="6"/>
        <v>-0.54</v>
      </c>
    </row>
    <row r="443" spans="1:5" x14ac:dyDescent="0.3">
      <c r="A443" s="9">
        <v>9.6180000000000003</v>
      </c>
      <c r="B443" s="9"/>
      <c r="C443" s="9">
        <v>-7.0532000000000004</v>
      </c>
      <c r="D443" s="39">
        <v>2</v>
      </c>
      <c r="E443" s="13">
        <f t="shared" si="6"/>
        <v>-0.73333333333333339</v>
      </c>
    </row>
    <row r="444" spans="1:5" x14ac:dyDescent="0.3">
      <c r="A444" s="9">
        <v>124.2</v>
      </c>
      <c r="B444" s="9"/>
      <c r="C444" s="9">
        <v>15.525</v>
      </c>
      <c r="D444" s="39">
        <v>3</v>
      </c>
      <c r="E444" s="13">
        <f t="shared" si="6"/>
        <v>0.125</v>
      </c>
    </row>
    <row r="445" spans="1:5" x14ac:dyDescent="0.3">
      <c r="A445" s="9">
        <v>3.2639999999999998</v>
      </c>
      <c r="B445" s="9"/>
      <c r="C445" s="9">
        <v>1.1015999999999999</v>
      </c>
      <c r="D445" s="39">
        <v>2</v>
      </c>
      <c r="E445" s="13">
        <f t="shared" si="6"/>
        <v>0.33750000000000002</v>
      </c>
    </row>
    <row r="446" spans="1:5" x14ac:dyDescent="0.3">
      <c r="A446" s="9">
        <v>86.304000000000002</v>
      </c>
      <c r="B446" s="9"/>
      <c r="C446" s="9">
        <v>9.7091999999999992</v>
      </c>
      <c r="D446" s="39">
        <v>6</v>
      </c>
      <c r="E446" s="13">
        <f t="shared" si="6"/>
        <v>0.11249999999999999</v>
      </c>
    </row>
    <row r="447" spans="1:5" x14ac:dyDescent="0.3">
      <c r="A447" s="9">
        <v>6.8579999999999997</v>
      </c>
      <c r="B447" s="9"/>
      <c r="C447" s="9">
        <v>-5.7149999999999999</v>
      </c>
      <c r="D447" s="39">
        <v>6</v>
      </c>
      <c r="E447" s="13">
        <f t="shared" si="6"/>
        <v>-0.83333333333333337</v>
      </c>
    </row>
    <row r="448" spans="1:5" x14ac:dyDescent="0.3">
      <c r="A448" s="9">
        <v>15.76</v>
      </c>
      <c r="B448" s="9"/>
      <c r="C448" s="9">
        <v>3.5459999999999998</v>
      </c>
      <c r="D448" s="39">
        <v>2</v>
      </c>
      <c r="E448" s="13">
        <f t="shared" si="6"/>
        <v>0.22499999999999998</v>
      </c>
    </row>
    <row r="449" spans="1:5" x14ac:dyDescent="0.3">
      <c r="A449" s="9">
        <v>238.89599999999999</v>
      </c>
      <c r="B449" s="9"/>
      <c r="C449" s="9">
        <v>-26.875800000000002</v>
      </c>
      <c r="D449" s="39">
        <v>6</v>
      </c>
      <c r="E449" s="13">
        <f t="shared" si="6"/>
        <v>-0.11250000000000002</v>
      </c>
    </row>
    <row r="450" spans="1:5" x14ac:dyDescent="0.3">
      <c r="A450" s="9">
        <v>102.36</v>
      </c>
      <c r="B450" s="9"/>
      <c r="C450" s="9">
        <v>-3.8384999999999998</v>
      </c>
      <c r="D450" s="39">
        <v>3</v>
      </c>
      <c r="E450" s="13">
        <f t="shared" si="6"/>
        <v>-3.7499999999999999E-2</v>
      </c>
    </row>
    <row r="451" spans="1:5" x14ac:dyDescent="0.3">
      <c r="A451" s="9">
        <v>36.881999999999998</v>
      </c>
      <c r="B451" s="9"/>
      <c r="C451" s="9">
        <v>-25.817399999999999</v>
      </c>
      <c r="D451" s="39">
        <v>3</v>
      </c>
      <c r="E451" s="13">
        <f t="shared" si="6"/>
        <v>-0.70000000000000007</v>
      </c>
    </row>
    <row r="452" spans="1:5" x14ac:dyDescent="0.3">
      <c r="A452" s="9">
        <v>12.132</v>
      </c>
      <c r="B452" s="9"/>
      <c r="C452" s="9">
        <v>-8.4923999999999999</v>
      </c>
      <c r="D452" s="39">
        <v>9</v>
      </c>
      <c r="E452" s="13">
        <f t="shared" si="6"/>
        <v>-0.70000000000000007</v>
      </c>
    </row>
    <row r="453" spans="1:5" x14ac:dyDescent="0.3">
      <c r="A453" s="9">
        <v>82.367999999999995</v>
      </c>
      <c r="B453" s="9"/>
      <c r="C453" s="9">
        <v>-19.5624</v>
      </c>
      <c r="D453" s="39">
        <v>2</v>
      </c>
      <c r="E453" s="13">
        <f t="shared" si="6"/>
        <v>-0.23750000000000002</v>
      </c>
    </row>
    <row r="454" spans="1:5" x14ac:dyDescent="0.3">
      <c r="A454" s="9">
        <v>53.92</v>
      </c>
      <c r="B454" s="9"/>
      <c r="C454" s="9">
        <v>4.0439999999999996</v>
      </c>
      <c r="D454" s="39">
        <v>5</v>
      </c>
      <c r="E454" s="13">
        <f t="shared" ref="E454:E501" si="7">(C454/A454)</f>
        <v>7.4999999999999983E-2</v>
      </c>
    </row>
    <row r="455" spans="1:5" x14ac:dyDescent="0.3">
      <c r="A455" s="9">
        <v>647.904</v>
      </c>
      <c r="B455" s="9"/>
      <c r="C455" s="9">
        <v>56.691600000000001</v>
      </c>
      <c r="D455" s="39">
        <v>6</v>
      </c>
      <c r="E455" s="13">
        <f t="shared" si="7"/>
        <v>8.7500000000000008E-2</v>
      </c>
    </row>
    <row r="456" spans="1:5" x14ac:dyDescent="0.3">
      <c r="A456" s="9">
        <v>2.08</v>
      </c>
      <c r="B456" s="9"/>
      <c r="C456" s="9">
        <v>-3.4319999999999999</v>
      </c>
      <c r="D456" s="39">
        <v>5</v>
      </c>
      <c r="E456" s="13">
        <f t="shared" si="7"/>
        <v>-1.65</v>
      </c>
    </row>
    <row r="457" spans="1:5" x14ac:dyDescent="0.3">
      <c r="A457" s="9">
        <v>1114.4000000000001</v>
      </c>
      <c r="B457" s="9"/>
      <c r="C457" s="9">
        <v>376.11</v>
      </c>
      <c r="D457" s="39">
        <v>7</v>
      </c>
      <c r="E457" s="13">
        <f t="shared" si="7"/>
        <v>0.33749999999999997</v>
      </c>
    </row>
    <row r="458" spans="1:5" x14ac:dyDescent="0.3">
      <c r="A458" s="9">
        <v>213.11500000000001</v>
      </c>
      <c r="B458" s="9"/>
      <c r="C458" s="9">
        <v>-15.2225</v>
      </c>
      <c r="D458" s="39">
        <v>5</v>
      </c>
      <c r="E458" s="13">
        <f t="shared" si="7"/>
        <v>-7.1428571428571425E-2</v>
      </c>
    </row>
    <row r="459" spans="1:5" x14ac:dyDescent="0.3">
      <c r="A459" s="9">
        <v>375.45749999999998</v>
      </c>
      <c r="B459" s="9"/>
      <c r="C459" s="9">
        <v>-157.0095</v>
      </c>
      <c r="D459" s="39">
        <v>3</v>
      </c>
      <c r="E459" s="13">
        <f t="shared" si="7"/>
        <v>-0.41818181818181821</v>
      </c>
    </row>
    <row r="460" spans="1:5" x14ac:dyDescent="0.3">
      <c r="A460" s="9">
        <v>83.975999999999999</v>
      </c>
      <c r="B460" s="9"/>
      <c r="C460" s="9">
        <v>-1.0497000000000001</v>
      </c>
      <c r="D460" s="39">
        <v>3</v>
      </c>
      <c r="E460" s="13">
        <f t="shared" si="7"/>
        <v>-1.2500000000000001E-2</v>
      </c>
    </row>
    <row r="461" spans="1:5" x14ac:dyDescent="0.3">
      <c r="A461" s="9">
        <v>4.7880000000000003</v>
      </c>
      <c r="B461" s="9"/>
      <c r="C461" s="9">
        <v>-7.9001999999999999</v>
      </c>
      <c r="D461" s="39">
        <v>3</v>
      </c>
      <c r="E461" s="13">
        <f t="shared" si="7"/>
        <v>-1.65</v>
      </c>
    </row>
    <row r="462" spans="1:5" x14ac:dyDescent="0.3">
      <c r="A462" s="9">
        <v>189.88200000000001</v>
      </c>
      <c r="B462" s="9"/>
      <c r="C462" s="9">
        <v>-94.941000000000003</v>
      </c>
      <c r="D462" s="39">
        <v>3</v>
      </c>
      <c r="E462" s="13">
        <f t="shared" si="7"/>
        <v>-0.5</v>
      </c>
    </row>
    <row r="463" spans="1:5" x14ac:dyDescent="0.3">
      <c r="A463" s="9">
        <v>189.58799999999999</v>
      </c>
      <c r="B463" s="9"/>
      <c r="C463" s="9">
        <v>-145.35079999999999</v>
      </c>
      <c r="D463" s="39">
        <v>2</v>
      </c>
      <c r="E463" s="13">
        <f t="shared" si="7"/>
        <v>-0.76666666666666661</v>
      </c>
    </row>
    <row r="464" spans="1:5" x14ac:dyDescent="0.3">
      <c r="A464" s="9">
        <v>408.74400000000003</v>
      </c>
      <c r="B464" s="9"/>
      <c r="C464" s="9">
        <v>76.639499999999998</v>
      </c>
      <c r="D464" s="39">
        <v>7</v>
      </c>
      <c r="E464" s="13">
        <f t="shared" si="7"/>
        <v>0.18749999999999997</v>
      </c>
    </row>
    <row r="465" spans="1:5" x14ac:dyDescent="0.3">
      <c r="A465" s="9">
        <v>291.95999999999998</v>
      </c>
      <c r="B465" s="9"/>
      <c r="C465" s="9">
        <v>54.7425</v>
      </c>
      <c r="D465" s="39">
        <v>5</v>
      </c>
      <c r="E465" s="13">
        <f t="shared" si="7"/>
        <v>0.1875</v>
      </c>
    </row>
    <row r="466" spans="1:5" x14ac:dyDescent="0.3">
      <c r="A466" s="9">
        <v>4.7679999999999998</v>
      </c>
      <c r="B466" s="9"/>
      <c r="C466" s="9">
        <v>-0.77480000000000004</v>
      </c>
      <c r="D466" s="39">
        <v>2</v>
      </c>
      <c r="E466" s="13">
        <f t="shared" si="7"/>
        <v>-0.16250000000000001</v>
      </c>
    </row>
    <row r="467" spans="1:5" x14ac:dyDescent="0.3">
      <c r="A467" s="9">
        <v>81.424000000000007</v>
      </c>
      <c r="B467" s="9"/>
      <c r="C467" s="9">
        <v>-9.1601999999999997</v>
      </c>
      <c r="D467" s="39">
        <v>2</v>
      </c>
      <c r="E467" s="13">
        <f t="shared" si="7"/>
        <v>-0.11249999999999999</v>
      </c>
    </row>
    <row r="468" spans="1:5" x14ac:dyDescent="0.3">
      <c r="A468" s="9">
        <v>238.56</v>
      </c>
      <c r="B468" s="9"/>
      <c r="C468" s="9">
        <v>26.241599999999998</v>
      </c>
      <c r="D468" s="39">
        <v>3</v>
      </c>
      <c r="E468" s="13">
        <f t="shared" si="7"/>
        <v>0.10999999999999999</v>
      </c>
    </row>
    <row r="469" spans="1:5" x14ac:dyDescent="0.3">
      <c r="A469" s="9">
        <v>99.135999999999996</v>
      </c>
      <c r="B469" s="9"/>
      <c r="C469" s="9">
        <v>30.98</v>
      </c>
      <c r="D469" s="39">
        <v>4</v>
      </c>
      <c r="E469" s="13">
        <f t="shared" si="7"/>
        <v>0.3125</v>
      </c>
    </row>
    <row r="470" spans="1:5" x14ac:dyDescent="0.3">
      <c r="A470" s="9">
        <v>290.89800000000002</v>
      </c>
      <c r="B470" s="9"/>
      <c r="C470" s="9">
        <v>-67.876199999999997</v>
      </c>
      <c r="D470" s="39">
        <v>3</v>
      </c>
      <c r="E470" s="13">
        <f t="shared" si="7"/>
        <v>-0.23333333333333331</v>
      </c>
    </row>
    <row r="471" spans="1:5" x14ac:dyDescent="0.3">
      <c r="A471" s="9">
        <v>54.223999999999997</v>
      </c>
      <c r="B471" s="9"/>
      <c r="C471" s="9">
        <v>3.3889999999999998</v>
      </c>
      <c r="D471" s="39">
        <v>2</v>
      </c>
      <c r="E471" s="13">
        <f t="shared" si="7"/>
        <v>6.25E-2</v>
      </c>
    </row>
    <row r="472" spans="1:5" x14ac:dyDescent="0.3">
      <c r="A472" s="9">
        <v>786.74400000000003</v>
      </c>
      <c r="B472" s="9"/>
      <c r="C472" s="9">
        <v>-258.5016</v>
      </c>
      <c r="D472" s="39">
        <v>4</v>
      </c>
      <c r="E472" s="13">
        <f t="shared" si="7"/>
        <v>-0.32857142857142857</v>
      </c>
    </row>
    <row r="473" spans="1:5" x14ac:dyDescent="0.3">
      <c r="A473" s="9">
        <v>100.24</v>
      </c>
      <c r="B473" s="9"/>
      <c r="C473" s="9">
        <v>33.831000000000003</v>
      </c>
      <c r="D473" s="39">
        <v>10</v>
      </c>
      <c r="E473" s="13">
        <f t="shared" si="7"/>
        <v>0.33750000000000002</v>
      </c>
    </row>
    <row r="474" spans="1:5" x14ac:dyDescent="0.3">
      <c r="A474" s="9">
        <v>37.764000000000003</v>
      </c>
      <c r="B474" s="9"/>
      <c r="C474" s="9">
        <v>-27.6936</v>
      </c>
      <c r="D474" s="39">
        <v>6</v>
      </c>
      <c r="E474" s="13">
        <f t="shared" si="7"/>
        <v>-0.73333333333333328</v>
      </c>
    </row>
    <row r="475" spans="1:5" x14ac:dyDescent="0.3">
      <c r="A475" s="9">
        <v>82.8</v>
      </c>
      <c r="B475" s="9"/>
      <c r="C475" s="9">
        <v>-20.7</v>
      </c>
      <c r="D475" s="39">
        <v>2</v>
      </c>
      <c r="E475" s="13">
        <f t="shared" si="7"/>
        <v>-0.25</v>
      </c>
    </row>
    <row r="476" spans="1:5" x14ac:dyDescent="0.3">
      <c r="A476" s="9">
        <v>20.724</v>
      </c>
      <c r="B476" s="9"/>
      <c r="C476" s="9">
        <v>-13.816000000000001</v>
      </c>
      <c r="D476" s="39">
        <v>2</v>
      </c>
      <c r="E476" s="13">
        <f t="shared" si="7"/>
        <v>-0.66666666666666674</v>
      </c>
    </row>
    <row r="477" spans="1:5" x14ac:dyDescent="0.3">
      <c r="A477" s="9">
        <v>4.8959999999999999</v>
      </c>
      <c r="B477" s="9"/>
      <c r="C477" s="9">
        <v>-3.4272</v>
      </c>
      <c r="D477" s="39">
        <v>3</v>
      </c>
      <c r="E477" s="13">
        <f t="shared" si="7"/>
        <v>-0.70000000000000007</v>
      </c>
    </row>
    <row r="478" spans="1:5" x14ac:dyDescent="0.3">
      <c r="A478" s="9">
        <v>747.55799999999999</v>
      </c>
      <c r="B478" s="9"/>
      <c r="C478" s="9">
        <v>-96.114599999999996</v>
      </c>
      <c r="D478" s="39">
        <v>3</v>
      </c>
      <c r="E478" s="13">
        <f t="shared" si="7"/>
        <v>-0.12857142857142856</v>
      </c>
    </row>
    <row r="479" spans="1:5" x14ac:dyDescent="0.3">
      <c r="A479" s="9">
        <v>8.9280000000000008</v>
      </c>
      <c r="B479" s="9"/>
      <c r="C479" s="9">
        <v>3.3479999999999999</v>
      </c>
      <c r="D479" s="39">
        <v>2</v>
      </c>
      <c r="E479" s="13">
        <f t="shared" si="7"/>
        <v>0.37499999999999994</v>
      </c>
    </row>
    <row r="480" spans="1:5" x14ac:dyDescent="0.3">
      <c r="A480" s="9">
        <v>233.86</v>
      </c>
      <c r="B480" s="9"/>
      <c r="C480" s="9">
        <v>-102.048</v>
      </c>
      <c r="D480" s="39">
        <v>2</v>
      </c>
      <c r="E480" s="13">
        <f t="shared" si="7"/>
        <v>-0.43636363636363634</v>
      </c>
    </row>
    <row r="481" spans="1:5" x14ac:dyDescent="0.3">
      <c r="A481" s="9">
        <v>620.61450000000002</v>
      </c>
      <c r="B481" s="9"/>
      <c r="C481" s="9">
        <v>-248.2458</v>
      </c>
      <c r="D481" s="39">
        <v>3</v>
      </c>
      <c r="E481" s="13">
        <f t="shared" si="7"/>
        <v>-0.39999999999999997</v>
      </c>
    </row>
    <row r="482" spans="1:5" x14ac:dyDescent="0.3">
      <c r="A482" s="9">
        <v>5.3280000000000003</v>
      </c>
      <c r="B482" s="9"/>
      <c r="C482" s="9">
        <v>-3.552</v>
      </c>
      <c r="D482" s="39">
        <v>2</v>
      </c>
      <c r="E482" s="13">
        <f t="shared" si="7"/>
        <v>-0.66666666666666663</v>
      </c>
    </row>
    <row r="483" spans="1:5" x14ac:dyDescent="0.3">
      <c r="A483" s="9">
        <v>258.072</v>
      </c>
      <c r="B483" s="9"/>
      <c r="C483" s="9">
        <v>0</v>
      </c>
      <c r="D483" s="39">
        <v>3</v>
      </c>
      <c r="E483" s="13">
        <f t="shared" si="7"/>
        <v>0</v>
      </c>
    </row>
    <row r="484" spans="1:5" x14ac:dyDescent="0.3">
      <c r="A484" s="9">
        <v>617.976</v>
      </c>
      <c r="B484" s="9"/>
      <c r="C484" s="9">
        <v>-7.7247000000000003</v>
      </c>
      <c r="D484" s="39">
        <v>3</v>
      </c>
      <c r="E484" s="13">
        <f t="shared" si="7"/>
        <v>-1.2500000000000001E-2</v>
      </c>
    </row>
    <row r="485" spans="1:5" x14ac:dyDescent="0.3">
      <c r="A485" s="9">
        <v>2.3879999999999999</v>
      </c>
      <c r="B485" s="9"/>
      <c r="C485" s="9">
        <v>-1.8308</v>
      </c>
      <c r="D485" s="39">
        <v>2</v>
      </c>
      <c r="E485" s="13">
        <f t="shared" si="7"/>
        <v>-0.76666666666666672</v>
      </c>
    </row>
    <row r="486" spans="1:5" x14ac:dyDescent="0.3">
      <c r="A486" s="9">
        <v>243.99199999999999</v>
      </c>
      <c r="B486" s="9"/>
      <c r="C486" s="9">
        <v>30.498999999999999</v>
      </c>
      <c r="D486" s="39">
        <v>7</v>
      </c>
      <c r="E486" s="13">
        <f t="shared" si="7"/>
        <v>0.125</v>
      </c>
    </row>
    <row r="487" spans="1:5" x14ac:dyDescent="0.3">
      <c r="A487" s="9">
        <v>5.6820000000000004</v>
      </c>
      <c r="B487" s="9"/>
      <c r="C487" s="9">
        <v>-3.7879999999999998</v>
      </c>
      <c r="D487" s="39">
        <v>1</v>
      </c>
      <c r="E487" s="13">
        <f t="shared" si="7"/>
        <v>-0.66666666666666663</v>
      </c>
    </row>
    <row r="488" spans="1:5" x14ac:dyDescent="0.3">
      <c r="A488" s="9">
        <v>66.284000000000006</v>
      </c>
      <c r="B488" s="9"/>
      <c r="C488" s="9">
        <v>-178.96680000000001</v>
      </c>
      <c r="D488" s="39">
        <v>2</v>
      </c>
      <c r="E488" s="13">
        <f t="shared" si="7"/>
        <v>-2.6999999999999997</v>
      </c>
    </row>
    <row r="489" spans="1:5" x14ac:dyDescent="0.3">
      <c r="A489" s="9">
        <v>1.248</v>
      </c>
      <c r="B489" s="9"/>
      <c r="C489" s="9">
        <v>-1.9343999999999999</v>
      </c>
      <c r="D489" s="39">
        <v>3</v>
      </c>
      <c r="E489" s="13">
        <f t="shared" si="7"/>
        <v>-1.5499999999999998</v>
      </c>
    </row>
    <row r="490" spans="1:5" x14ac:dyDescent="0.3">
      <c r="A490" s="9">
        <v>9.7080000000000002</v>
      </c>
      <c r="B490" s="9"/>
      <c r="C490" s="9">
        <v>-5.8247999999999998</v>
      </c>
      <c r="D490" s="39">
        <v>3</v>
      </c>
      <c r="E490" s="13">
        <f t="shared" si="7"/>
        <v>-0.6</v>
      </c>
    </row>
    <row r="491" spans="1:5" x14ac:dyDescent="0.3">
      <c r="A491" s="9">
        <v>27.24</v>
      </c>
      <c r="B491" s="9"/>
      <c r="C491" s="9">
        <v>2.7240000000000002</v>
      </c>
      <c r="D491" s="39">
        <v>3</v>
      </c>
      <c r="E491" s="13">
        <f t="shared" si="7"/>
        <v>0.10000000000000002</v>
      </c>
    </row>
    <row r="492" spans="1:5" x14ac:dyDescent="0.3">
      <c r="A492" s="9">
        <v>230.376</v>
      </c>
      <c r="B492" s="9"/>
      <c r="C492" s="9">
        <v>-48.954900000000002</v>
      </c>
      <c r="D492" s="39">
        <v>3</v>
      </c>
      <c r="E492" s="13">
        <f t="shared" si="7"/>
        <v>-0.21249999999999999</v>
      </c>
    </row>
    <row r="493" spans="1:5" x14ac:dyDescent="0.3">
      <c r="A493" s="9">
        <v>2.9460000000000002</v>
      </c>
      <c r="B493" s="9"/>
      <c r="C493" s="9">
        <v>-2.2585999999999999</v>
      </c>
      <c r="D493" s="39">
        <v>2</v>
      </c>
      <c r="E493" s="13">
        <f t="shared" si="7"/>
        <v>-0.76666666666666661</v>
      </c>
    </row>
    <row r="494" spans="1:5" x14ac:dyDescent="0.3">
      <c r="A494" s="9">
        <v>16.056000000000001</v>
      </c>
      <c r="B494" s="9"/>
      <c r="C494" s="9">
        <v>5.8202999999999996</v>
      </c>
      <c r="D494" s="39">
        <v>3</v>
      </c>
      <c r="E494" s="13">
        <f t="shared" si="7"/>
        <v>0.36249999999999993</v>
      </c>
    </row>
    <row r="495" spans="1:5" x14ac:dyDescent="0.3">
      <c r="A495" s="9">
        <v>1488.424</v>
      </c>
      <c r="B495" s="9"/>
      <c r="C495" s="9">
        <v>-297.6848</v>
      </c>
      <c r="D495" s="39">
        <v>7</v>
      </c>
      <c r="E495" s="13">
        <f t="shared" si="7"/>
        <v>-0.2</v>
      </c>
    </row>
    <row r="496" spans="1:5" x14ac:dyDescent="0.3">
      <c r="A496" s="9">
        <v>37.207999999999998</v>
      </c>
      <c r="B496" s="9"/>
      <c r="C496" s="9">
        <v>-7.4416000000000002</v>
      </c>
      <c r="D496" s="39">
        <v>1</v>
      </c>
      <c r="E496" s="13">
        <f t="shared" si="7"/>
        <v>-0.2</v>
      </c>
    </row>
    <row r="497" spans="1:7" x14ac:dyDescent="0.3">
      <c r="A497" s="9">
        <v>57.576000000000001</v>
      </c>
      <c r="B497" s="9"/>
      <c r="C497" s="9">
        <v>21.591000000000001</v>
      </c>
      <c r="D497" s="39">
        <v>3</v>
      </c>
      <c r="E497" s="13">
        <f t="shared" si="7"/>
        <v>0.375</v>
      </c>
    </row>
    <row r="498" spans="1:7" x14ac:dyDescent="0.3">
      <c r="A498" s="9">
        <v>97.263999999999996</v>
      </c>
      <c r="B498" s="9"/>
      <c r="C498" s="9">
        <v>-243.16</v>
      </c>
      <c r="D498" s="39">
        <v>4</v>
      </c>
      <c r="E498" s="13">
        <f t="shared" si="7"/>
        <v>-2.5</v>
      </c>
    </row>
    <row r="499" spans="1:7" x14ac:dyDescent="0.3">
      <c r="A499" s="9">
        <v>219.07499999999999</v>
      </c>
      <c r="B499" s="9"/>
      <c r="C499" s="9">
        <v>-131.44499999999999</v>
      </c>
      <c r="D499" s="39">
        <v>3</v>
      </c>
      <c r="E499" s="13">
        <f t="shared" si="7"/>
        <v>-0.6</v>
      </c>
    </row>
    <row r="500" spans="1:7" x14ac:dyDescent="0.3">
      <c r="A500" s="9">
        <v>1.6240000000000001</v>
      </c>
      <c r="B500" s="9"/>
      <c r="C500" s="9">
        <v>-4.4660000000000002</v>
      </c>
      <c r="D500" s="39">
        <v>2</v>
      </c>
      <c r="E500" s="13">
        <f t="shared" si="7"/>
        <v>-2.75</v>
      </c>
    </row>
    <row r="501" spans="1:7" x14ac:dyDescent="0.3">
      <c r="A501" s="9">
        <v>71.372</v>
      </c>
      <c r="B501" s="9"/>
      <c r="C501" s="9">
        <v>-1.0196000000000001</v>
      </c>
      <c r="D501" s="39">
        <v>2</v>
      </c>
      <c r="E501" s="13">
        <f t="shared" si="7"/>
        <v>-1.4285714285714287E-2</v>
      </c>
    </row>
    <row r="502" spans="1:7" x14ac:dyDescent="0.3">
      <c r="A502" s="9">
        <v>59.97</v>
      </c>
      <c r="B502" s="9"/>
      <c r="C502" s="9">
        <v>-11.994</v>
      </c>
      <c r="D502" s="39">
        <v>5</v>
      </c>
      <c r="E502" s="13">
        <f>(C502/A502)</f>
        <v>-0.2</v>
      </c>
    </row>
    <row r="503" spans="1:7" x14ac:dyDescent="0.3">
      <c r="A503" s="9">
        <v>78.304000000000002</v>
      </c>
      <c r="B503" s="9"/>
      <c r="C503" s="9">
        <v>29.364000000000001</v>
      </c>
      <c r="D503" s="39">
        <v>2</v>
      </c>
      <c r="E503" s="13">
        <f t="shared" ref="E503:E504" si="8">(C503/A503)</f>
        <v>0.375</v>
      </c>
    </row>
    <row r="504" spans="1:7" x14ac:dyDescent="0.3">
      <c r="A504" s="9">
        <v>21.456</v>
      </c>
      <c r="B504" s="9"/>
      <c r="C504" s="9">
        <v>6.9732000000000003</v>
      </c>
      <c r="D504" s="39">
        <v>9</v>
      </c>
      <c r="E504" s="13">
        <f t="shared" si="8"/>
        <v>0.32500000000000001</v>
      </c>
    </row>
    <row r="505" spans="1:7" ht="30" x14ac:dyDescent="0.3">
      <c r="A505" s="2" t="s">
        <v>808</v>
      </c>
      <c r="B505" s="3">
        <f>SUM(A5:A504)</f>
        <v>129426.31609999992</v>
      </c>
      <c r="C505" s="4" t="s">
        <v>810</v>
      </c>
      <c r="D505" s="40" t="s">
        <v>811</v>
      </c>
      <c r="E505" s="13"/>
      <c r="G505" s="41"/>
    </row>
    <row r="506" spans="1:7" ht="28.8" thickBot="1" x14ac:dyDescent="0.35">
      <c r="A506" s="5" t="s">
        <v>809</v>
      </c>
      <c r="B506" s="6">
        <f>AVERAGE(A5:A504)</f>
        <v>258.85263219999985</v>
      </c>
      <c r="C506" s="7">
        <f>SUM(C5:C489)</f>
        <v>6051.2877999999955</v>
      </c>
      <c r="D506" s="8">
        <f>SUM(D5:D486)</f>
        <v>1915</v>
      </c>
    </row>
  </sheetData>
  <mergeCells count="1">
    <mergeCell ref="A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FCCB-93B3-48F9-A357-E83D03D9FF98}">
  <dimension ref="A3:N119"/>
  <sheetViews>
    <sheetView showGridLines="0" tabSelected="1" topLeftCell="A103" zoomScaleNormal="100" workbookViewId="0">
      <selection activeCell="M40" sqref="M40"/>
    </sheetView>
  </sheetViews>
  <sheetFormatPr defaultRowHeight="14.4" x14ac:dyDescent="0.3"/>
  <cols>
    <col min="1" max="1" width="13.109375" bestFit="1" customWidth="1"/>
    <col min="2" max="2" width="12" bestFit="1" customWidth="1"/>
  </cols>
  <sheetData>
    <row r="3" spans="1:9" ht="27.6" x14ac:dyDescent="0.65">
      <c r="A3" s="11" t="s">
        <v>814</v>
      </c>
      <c r="B3" t="s">
        <v>816</v>
      </c>
      <c r="D3" s="33" t="s">
        <v>817</v>
      </c>
      <c r="E3" s="34"/>
      <c r="F3" s="34"/>
      <c r="G3" s="34"/>
      <c r="H3" s="34"/>
      <c r="I3" s="34"/>
    </row>
    <row r="4" spans="1:9" x14ac:dyDescent="0.3">
      <c r="A4" s="12" t="s">
        <v>21</v>
      </c>
      <c r="B4">
        <v>45502.307599999971</v>
      </c>
    </row>
    <row r="5" spans="1:9" x14ac:dyDescent="0.3">
      <c r="A5" s="12" t="s">
        <v>11</v>
      </c>
      <c r="B5">
        <v>33797.923999999999</v>
      </c>
    </row>
    <row r="6" spans="1:9" x14ac:dyDescent="0.3">
      <c r="A6" s="12" t="s">
        <v>44</v>
      </c>
      <c r="B6">
        <v>12344.4475</v>
      </c>
    </row>
    <row r="7" spans="1:9" ht="13.2" customHeight="1" x14ac:dyDescent="0.3">
      <c r="A7" s="12" t="s">
        <v>16</v>
      </c>
      <c r="B7">
        <v>37781.636999999988</v>
      </c>
    </row>
    <row r="8" spans="1:9" x14ac:dyDescent="0.3">
      <c r="A8" s="12" t="s">
        <v>815</v>
      </c>
      <c r="B8">
        <v>129426.31609999995</v>
      </c>
    </row>
    <row r="22" spans="1:9" x14ac:dyDescent="0.3">
      <c r="A22" s="11" t="s">
        <v>814</v>
      </c>
      <c r="B22" t="s">
        <v>816</v>
      </c>
    </row>
    <row r="23" spans="1:9" x14ac:dyDescent="0.3">
      <c r="A23" s="12" t="s">
        <v>18</v>
      </c>
      <c r="B23" s="44">
        <v>45916.910099999986</v>
      </c>
    </row>
    <row r="24" spans="1:9" ht="25.2" x14ac:dyDescent="0.6">
      <c r="A24" s="12" t="s">
        <v>23</v>
      </c>
      <c r="B24" s="44">
        <v>31467.874999999985</v>
      </c>
      <c r="D24" s="35" t="s">
        <v>818</v>
      </c>
      <c r="E24" s="34"/>
      <c r="F24" s="34"/>
      <c r="G24" s="34"/>
      <c r="H24" s="34"/>
      <c r="I24" s="34"/>
    </row>
    <row r="25" spans="1:9" x14ac:dyDescent="0.3">
      <c r="A25" s="12" t="s">
        <v>13</v>
      </c>
      <c r="B25" s="44">
        <v>52041.531000000025</v>
      </c>
    </row>
    <row r="26" spans="1:9" x14ac:dyDescent="0.3">
      <c r="A26" s="12" t="s">
        <v>815</v>
      </c>
      <c r="B26" s="44">
        <v>129426.3161</v>
      </c>
    </row>
    <row r="44" spans="1:8" ht="27.6" x14ac:dyDescent="0.65">
      <c r="A44" s="11" t="s">
        <v>814</v>
      </c>
      <c r="B44" t="s">
        <v>819</v>
      </c>
      <c r="D44" s="33" t="s">
        <v>820</v>
      </c>
      <c r="E44" s="36"/>
      <c r="F44" s="36"/>
      <c r="G44" s="36"/>
      <c r="H44" s="36"/>
    </row>
    <row r="45" spans="1:8" x14ac:dyDescent="0.3">
      <c r="A45" s="12" t="s">
        <v>21</v>
      </c>
      <c r="B45">
        <v>-849.61419999999941</v>
      </c>
    </row>
    <row r="46" spans="1:8" x14ac:dyDescent="0.3">
      <c r="A46" s="12" t="s">
        <v>11</v>
      </c>
      <c r="B46">
        <v>1712.1438999999973</v>
      </c>
    </row>
    <row r="47" spans="1:8" x14ac:dyDescent="0.3">
      <c r="A47" s="12" t="s">
        <v>44</v>
      </c>
      <c r="B47">
        <v>-424.12810000000002</v>
      </c>
    </row>
    <row r="48" spans="1:8" x14ac:dyDescent="0.3">
      <c r="A48" s="12" t="s">
        <v>16</v>
      </c>
      <c r="B48">
        <v>4925.109400000003</v>
      </c>
    </row>
    <row r="49" spans="1:2" x14ac:dyDescent="0.3">
      <c r="A49" s="12" t="s">
        <v>815</v>
      </c>
      <c r="B49">
        <v>5363.5110000000004</v>
      </c>
    </row>
    <row r="67" spans="1:14" x14ac:dyDescent="0.3">
      <c r="A67" s="11" t="s">
        <v>814</v>
      </c>
      <c r="B67" t="s">
        <v>816</v>
      </c>
    </row>
    <row r="68" spans="1:14" x14ac:dyDescent="0.3">
      <c r="A68" s="12" t="s">
        <v>120</v>
      </c>
      <c r="B68">
        <v>11219.934000000001</v>
      </c>
      <c r="G68" s="37" t="s">
        <v>821</v>
      </c>
      <c r="H68" s="34"/>
      <c r="I68" s="34"/>
      <c r="J68" s="34"/>
      <c r="K68" s="34"/>
      <c r="L68" s="34"/>
      <c r="M68" s="34"/>
      <c r="N68" s="34"/>
    </row>
    <row r="69" spans="1:14" x14ac:dyDescent="0.3">
      <c r="A69" s="12" t="s">
        <v>325</v>
      </c>
      <c r="B69">
        <v>5479.6956</v>
      </c>
      <c r="G69" s="34"/>
      <c r="H69" s="34"/>
      <c r="I69" s="34"/>
      <c r="J69" s="34"/>
      <c r="K69" s="34"/>
      <c r="L69" s="34"/>
      <c r="M69" s="34"/>
      <c r="N69" s="34"/>
    </row>
    <row r="70" spans="1:14" x14ac:dyDescent="0.3">
      <c r="A70" s="12" t="s">
        <v>416</v>
      </c>
      <c r="B70">
        <v>4355.1679999999997</v>
      </c>
    </row>
    <row r="71" spans="1:14" x14ac:dyDescent="0.3">
      <c r="A71" s="12" t="s">
        <v>164</v>
      </c>
      <c r="B71">
        <v>3991.98</v>
      </c>
    </row>
    <row r="72" spans="1:14" x14ac:dyDescent="0.3">
      <c r="A72" s="12" t="s">
        <v>462</v>
      </c>
      <c r="B72">
        <v>3965.346</v>
      </c>
    </row>
    <row r="73" spans="1:14" x14ac:dyDescent="0.3">
      <c r="A73" s="12" t="s">
        <v>19</v>
      </c>
      <c r="B73">
        <v>3059.9859999999999</v>
      </c>
    </row>
    <row r="74" spans="1:14" x14ac:dyDescent="0.3">
      <c r="A74" s="12" t="s">
        <v>148</v>
      </c>
      <c r="B74">
        <v>2735.9520000000002</v>
      </c>
    </row>
    <row r="75" spans="1:14" x14ac:dyDescent="0.3">
      <c r="A75" s="12" t="s">
        <v>372</v>
      </c>
      <c r="B75">
        <v>2683.7799999999997</v>
      </c>
    </row>
    <row r="76" spans="1:14" x14ac:dyDescent="0.3">
      <c r="A76" s="12" t="s">
        <v>676</v>
      </c>
      <c r="B76">
        <v>2519.9580000000001</v>
      </c>
    </row>
    <row r="77" spans="1:14" x14ac:dyDescent="0.3">
      <c r="A77" s="12" t="s">
        <v>185</v>
      </c>
      <c r="B77">
        <v>2202.6711999999998</v>
      </c>
    </row>
    <row r="78" spans="1:14" x14ac:dyDescent="0.3">
      <c r="A78" s="12" t="s">
        <v>815</v>
      </c>
      <c r="B78">
        <v>42214.470799999996</v>
      </c>
    </row>
    <row r="105" spans="1:12" x14ac:dyDescent="0.3">
      <c r="A105" s="11" t="s">
        <v>814</v>
      </c>
      <c r="B105" t="s">
        <v>816</v>
      </c>
    </row>
    <row r="106" spans="1:12" x14ac:dyDescent="0.3">
      <c r="A106" s="12" t="s">
        <v>822</v>
      </c>
      <c r="B106" s="44">
        <v>2488.3240000000001</v>
      </c>
      <c r="F106" s="33" t="s">
        <v>834</v>
      </c>
      <c r="G106" s="34"/>
      <c r="H106" s="34"/>
      <c r="I106" s="34"/>
      <c r="J106" s="34"/>
      <c r="K106" s="34"/>
      <c r="L106" s="34"/>
    </row>
    <row r="107" spans="1:12" x14ac:dyDescent="0.3">
      <c r="A107" s="12" t="s">
        <v>823</v>
      </c>
      <c r="B107" s="44">
        <v>861.36200000000008</v>
      </c>
      <c r="F107" s="34"/>
      <c r="G107" s="34"/>
      <c r="H107" s="34"/>
      <c r="I107" s="34"/>
      <c r="J107" s="34"/>
      <c r="K107" s="34"/>
      <c r="L107" s="34"/>
    </row>
    <row r="108" spans="1:12" x14ac:dyDescent="0.3">
      <c r="A108" s="12" t="s">
        <v>824</v>
      </c>
      <c r="B108" s="44">
        <v>2774.3328000000001</v>
      </c>
    </row>
    <row r="109" spans="1:12" x14ac:dyDescent="0.3">
      <c r="A109" s="12" t="s">
        <v>825</v>
      </c>
      <c r="B109" s="44">
        <v>8681.1584999999977</v>
      </c>
    </row>
    <row r="110" spans="1:12" x14ac:dyDescent="0.3">
      <c r="A110" s="12" t="s">
        <v>826</v>
      </c>
      <c r="B110" s="44">
        <v>814.97399999999993</v>
      </c>
    </row>
    <row r="111" spans="1:12" x14ac:dyDescent="0.3">
      <c r="A111" s="12" t="s">
        <v>827</v>
      </c>
      <c r="B111" s="44">
        <v>14645.988999999998</v>
      </c>
    </row>
    <row r="112" spans="1:12" x14ac:dyDescent="0.3">
      <c r="A112" s="12" t="s">
        <v>828</v>
      </c>
      <c r="B112" s="44">
        <v>3671.0879999999993</v>
      </c>
    </row>
    <row r="113" spans="1:2" x14ac:dyDescent="0.3">
      <c r="A113" s="12" t="s">
        <v>829</v>
      </c>
      <c r="B113" s="44">
        <v>5941.8580000000002</v>
      </c>
    </row>
    <row r="114" spans="1:2" x14ac:dyDescent="0.3">
      <c r="A114" s="12" t="s">
        <v>830</v>
      </c>
      <c r="B114" s="44">
        <v>41174.699599999993</v>
      </c>
    </row>
    <row r="115" spans="1:2" x14ac:dyDescent="0.3">
      <c r="A115" s="12" t="s">
        <v>831</v>
      </c>
      <c r="B115" s="44">
        <v>10674.363499999996</v>
      </c>
    </row>
    <row r="116" spans="1:2" x14ac:dyDescent="0.3">
      <c r="A116" s="12" t="s">
        <v>832</v>
      </c>
      <c r="B116" s="44">
        <v>15764.404500000001</v>
      </c>
    </row>
    <row r="117" spans="1:2" x14ac:dyDescent="0.3">
      <c r="A117" s="12" t="s">
        <v>833</v>
      </c>
      <c r="B117" s="44">
        <v>21933.762199999997</v>
      </c>
    </row>
    <row r="118" spans="1:2" x14ac:dyDescent="0.3">
      <c r="A118" s="12" t="s">
        <v>836</v>
      </c>
      <c r="B118" s="44"/>
    </row>
    <row r="119" spans="1:2" x14ac:dyDescent="0.3">
      <c r="A119" s="12" t="s">
        <v>815</v>
      </c>
      <c r="B119" s="44">
        <v>129426.31609999998</v>
      </c>
    </row>
  </sheetData>
  <mergeCells count="5">
    <mergeCell ref="D3:I3"/>
    <mergeCell ref="D24:I24"/>
    <mergeCell ref="D44:H44"/>
    <mergeCell ref="G68:N69"/>
    <mergeCell ref="F106:L107"/>
  </mergeCells>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salesdataset</vt:lpstr>
      <vt:lpstr>budget performance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Pravallika satya Bokka</dc:creator>
  <cp:lastModifiedBy>Pravallika satya Bokka</cp:lastModifiedBy>
  <dcterms:created xsi:type="dcterms:W3CDTF">2026-03-06T07:31:09Z</dcterms:created>
  <dcterms:modified xsi:type="dcterms:W3CDTF">2026-03-06T15:21:48Z</dcterms:modified>
</cp:coreProperties>
</file>